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hibitors" sheetId="1" state="visible" r:id="rId3"/>
    <sheet name="Category Landscape" sheetId="2" state="visible" r:id="rId4"/>
    <sheet name="Convergence Examples" sheetId="3" state="visible" r:id="rId5"/>
  </sheets>
  <definedNames>
    <definedName function="false" hidden="true" localSheetId="0" name="_xlnm._FilterDatabase" vbProcedure="false">Exhibitors!$A$1:$F$226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<sst xmlns="http://schemas.openxmlformats.org/spreadsheetml/2006/main" count="774" uniqueCount="521">
  <si>
    <t xml:space="preserve">#</t>
  </si>
  <si>
    <t xml:space="preserve">Exhibitor</t>
  </si>
  <si>
    <t xml:space="preserve">Maker / Team</t>
  </si>
  <si>
    <t xml:space="preserve">Category</t>
  </si>
  <si>
    <t xml:space="preserve">Location / State</t>
  </si>
  <si>
    <t xml:space="preserve">Notes</t>
  </si>
  <si>
    <t xml:space="preserve">Bay Area Droid Builders</t>
  </si>
  <si>
    <t xml:space="preserve">Bay Area Droid builders</t>
  </si>
  <si>
    <t xml:space="preserve">Robotics and Automation</t>
  </si>
  <si>
    <t xml:space="preserve">Polydact: A Flexible New Finger</t>
  </si>
  <si>
    <t xml:space="preserve">T. Miguel Pegues</t>
  </si>
  <si>
    <t xml:space="preserve">Bio Medical and Wearable</t>
  </si>
  <si>
    <t xml:space="preserve">Control a DIY Surgery Robot Arm</t>
  </si>
  <si>
    <t xml:space="preserve">Chandler</t>
  </si>
  <si>
    <t xml:space="preserve">Catapult Zone</t>
  </si>
  <si>
    <t xml:space="preserve">Graham Smith</t>
  </si>
  <si>
    <t xml:space="preserve">Games and Interactive</t>
  </si>
  <si>
    <t xml:space="preserve">Linus Tech Tips</t>
  </si>
  <si>
    <t xml:space="preserve">Media and Creators</t>
  </si>
  <si>
    <t xml:space="preserve">The World's Most Advanced Pokedex</t>
  </si>
  <si>
    <t xml:space="preserve">BigRig Creates</t>
  </si>
  <si>
    <t xml:space="preserve">Software AI and Computing</t>
  </si>
  <si>
    <t xml:space="preserve">Drive a Combat Robot - Just 'Cuz Robotics</t>
  </si>
  <si>
    <t xml:space="preserve">Seth Schaffer</t>
  </si>
  <si>
    <t xml:space="preserve">Combat Robotics</t>
  </si>
  <si>
    <t xml:space="preserve">Bobby+ World's Largest Mechanical Pencil</t>
  </si>
  <si>
    <t xml:space="preserve">Bob Seif</t>
  </si>
  <si>
    <t xml:space="preserve">Art Light and Sculpture</t>
  </si>
  <si>
    <t xml:space="preserve">Musical Floppy Drives!</t>
  </si>
  <si>
    <t xml:space="preserve">Garrett</t>
  </si>
  <si>
    <t xml:space="preserve">Music and Audio</t>
  </si>
  <si>
    <t xml:space="preserve">Camera contraptions, DIY Film and Digital Cameras</t>
  </si>
  <si>
    <t xml:space="preserve">Tom</t>
  </si>
  <si>
    <t xml:space="preserve">Cameras and Imaging</t>
  </si>
  <si>
    <t xml:space="preserve">RAT-A2E</t>
  </si>
  <si>
    <t xml:space="preserve">John</t>
  </si>
  <si>
    <t xml:space="preserve">Backyard Railroading! Ride on Model Trains</t>
  </si>
  <si>
    <t xml:space="preserve">JT Engineering</t>
  </si>
  <si>
    <t xml:space="preserve">Vehicles and Transport</t>
  </si>
  <si>
    <t xml:space="preserve">Q8botOne by ZeroWire Robotics</t>
  </si>
  <si>
    <t xml:space="preserve">Eric Wu</t>
  </si>
  <si>
    <t xml:space="preserve">U-Haul Sized Polaroid</t>
  </si>
  <si>
    <t xml:space="preserve">Some Friends and a Truck</t>
  </si>
  <si>
    <t xml:space="preserve">SpaceframeSCAD: Large-scale light-up sculptures</t>
  </si>
  <si>
    <t xml:space="preserve">Wirehead Arts</t>
  </si>
  <si>
    <t xml:space="preserve">DIY Satellite Antennas</t>
  </si>
  <si>
    <t xml:space="preserve">Saveitforparts</t>
  </si>
  <si>
    <t xml:space="preserve">Rocketry Space and Aero</t>
  </si>
  <si>
    <t xml:space="preserve">Plasma Entropy Source</t>
  </si>
  <si>
    <t xml:space="preserve">Max</t>
  </si>
  <si>
    <t xml:space="preserve">Science and Physics</t>
  </si>
  <si>
    <t xml:space="preserve">Snap Circuits of Guitar Pedals</t>
  </si>
  <si>
    <t xml:space="preserve">PedalSwap</t>
  </si>
  <si>
    <t xml:space="preserve">TrackStacker magnetic marble track toy</t>
  </si>
  <si>
    <t xml:space="preserve">Shaurjya Banerjee aka Wholesomecircuits</t>
  </si>
  <si>
    <t xml:space="preserve">Toys Kinetics and Puzzles</t>
  </si>
  <si>
    <t xml:space="preserve">Kangaroo and Joey!</t>
  </si>
  <si>
    <t xml:space="preserve">Jay At Restaurants</t>
  </si>
  <si>
    <t xml:space="preserve">Mehxel - Robots and Pixels</t>
  </si>
  <si>
    <t xml:space="preserve">Robots and Pixels</t>
  </si>
  <si>
    <t xml:space="preserve">Alleycat Asset Acquisitions</t>
  </si>
  <si>
    <t xml:space="preserve">Elli</t>
  </si>
  <si>
    <t xml:space="preserve">The Remake of the End of the Greatest RPG of All Time</t>
  </si>
  <si>
    <t xml:space="preserve">Coin Drop Games</t>
  </si>
  <si>
    <t xml:space="preserve">Open Hardware Induction-Heated Soldering Iron</t>
  </si>
  <si>
    <t xml:space="preserve">RadioThermal</t>
  </si>
  <si>
    <t xml:space="preserve">Electronics and Hardware</t>
  </si>
  <si>
    <t xml:space="preserve">The Wizard Olympics</t>
  </si>
  <si>
    <t xml:space="preserve">Tech Wizard</t>
  </si>
  <si>
    <t xml:space="preserve">Experimental Division Combat Robotics Club</t>
  </si>
  <si>
    <t xml:space="preserve">Experimental Division</t>
  </si>
  <si>
    <t xml:space="preserve">Smell a Survival Game - Akiiwan</t>
  </si>
  <si>
    <t xml:space="preserve">Little Buffalo Studios</t>
  </si>
  <si>
    <t xml:space="preserve">Saddleback Rocketry - Argo Barracuda</t>
  </si>
  <si>
    <t xml:space="preserve">Saddleback Rocketry</t>
  </si>
  <si>
    <t xml:space="preserve">NS Photo Booth ft. Cheezit the Game</t>
  </si>
  <si>
    <t xml:space="preserve">Diflic</t>
  </si>
  <si>
    <t xml:space="preserve">OSU Overclocking Club</t>
  </si>
  <si>
    <t xml:space="preserve">Zander</t>
  </si>
  <si>
    <t xml:space="preserve">Getting Started in Combat Robotics - Backslash Robotics Chico State AIME</t>
  </si>
  <si>
    <t xml:space="preserve">Backslash Robotics AIME</t>
  </si>
  <si>
    <t xml:space="preserve">Sacramento State Competitive Robotics</t>
  </si>
  <si>
    <t xml:space="preserve">Hans</t>
  </si>
  <si>
    <t xml:space="preserve">Custom Inflatable Creations</t>
  </si>
  <si>
    <t xml:space="preserve">Devising Delight</t>
  </si>
  <si>
    <t xml:space="preserve">Cosplay Textiles Inflatables</t>
  </si>
  <si>
    <t xml:space="preserve">K-2 Halbach Arrays: Playing with Altered Physics</t>
  </si>
  <si>
    <t xml:space="preserve">Henry Tregillus</t>
  </si>
  <si>
    <t xml:space="preserve">Neobotics: Autonomous Racing Cars</t>
  </si>
  <si>
    <t xml:space="preserve">Koneshka</t>
  </si>
  <si>
    <t xml:space="preserve">Poseidon Robotics 27497</t>
  </si>
  <si>
    <t xml:space="preserve">Balaji</t>
  </si>
  <si>
    <t xml:space="preserve">Gunstoppable - Indie FPS Game</t>
  </si>
  <si>
    <t xml:space="preserve">Salaar Kohari</t>
  </si>
  <si>
    <t xml:space="preserve">Visionary AI Glasses</t>
  </si>
  <si>
    <t xml:space="preserve">Akhil Nagori</t>
  </si>
  <si>
    <t xml:space="preserve">Fae Wisp</t>
  </si>
  <si>
    <t xml:space="preserve">Exo Bronco Two Stage Rocket - Cal Poly Pomona</t>
  </si>
  <si>
    <t xml:space="preserve">Nathan</t>
  </si>
  <si>
    <t xml:space="preserve">Vertex Robotics</t>
  </si>
  <si>
    <t xml:space="preserve">Constantinos Gerontis</t>
  </si>
  <si>
    <t xml:space="preserve">Be Golden in your Next Cosplay: Light-up Props Wearables</t>
  </si>
  <si>
    <t xml:space="preserve">Crafty Sorceress</t>
  </si>
  <si>
    <t xml:space="preserve">INFERIUS</t>
  </si>
  <si>
    <t xml:space="preserve">Lucid Rain Studios</t>
  </si>
  <si>
    <t xml:space="preserve">Cheffed</t>
  </si>
  <si>
    <t xml:space="preserve">Edward 'Phalistafer' Chang</t>
  </si>
  <si>
    <t xml:space="preserve">Solar drone around the world</t>
  </si>
  <si>
    <t xml:space="preserve">Keaton Hare</t>
  </si>
  <si>
    <t xml:space="preserve">Motorized Bikes, Mini-Moto-Trike, Dual Engine Chopper</t>
  </si>
  <si>
    <t xml:space="preserve">Dane Whitmire</t>
  </si>
  <si>
    <t xml:space="preserve">DIY Wearable Robotic Arms</t>
  </si>
  <si>
    <t xml:space="preserve">Dakota Cook</t>
  </si>
  <si>
    <t xml:space="preserve">Sneaky Fishy</t>
  </si>
  <si>
    <t xml:space="preserve">The Sillies</t>
  </si>
  <si>
    <t xml:space="preserve">Muscle Kingdom Limitless Fighting</t>
  </si>
  <si>
    <t xml:space="preserve">Milai Swan David Kol</t>
  </si>
  <si>
    <t xml:space="preserve">Auto Catching Trash Can</t>
  </si>
  <si>
    <t xml:space="preserve">Sharad</t>
  </si>
  <si>
    <t xml:space="preserve">Adaptive Tech Club - Assistive Toys and Tech</t>
  </si>
  <si>
    <t xml:space="preserve">Adaptive Tech Club</t>
  </si>
  <si>
    <t xml:space="preserve">Education and STEM</t>
  </si>
  <si>
    <t xml:space="preserve">Puck It</t>
  </si>
  <si>
    <t xml:space="preserve">Kenny Wakeland - Lewis Wakeland</t>
  </si>
  <si>
    <t xml:space="preserve">SF-HAB: High Altitude Ballooning in the Bay Area</t>
  </si>
  <si>
    <t xml:space="preserve">Martin</t>
  </si>
  <si>
    <t xml:space="preserve">Team 2854 The Prototypes</t>
  </si>
  <si>
    <t xml:space="preserve">Hacker Dojo</t>
  </si>
  <si>
    <t xml:space="preserve">Eva</t>
  </si>
  <si>
    <t xml:space="preserve">Community and Makerspace</t>
  </si>
  <si>
    <t xml:space="preserve">Grommet Chod</t>
  </si>
  <si>
    <t xml:space="preserve">Slaw Man Games</t>
  </si>
  <si>
    <t xml:space="preserve">Dance Interface Device</t>
  </si>
  <si>
    <t xml:space="preserve">Matt London/DashPum4</t>
  </si>
  <si>
    <t xml:space="preserve">we made this stuff</t>
  </si>
  <si>
    <t xml:space="preserve">Cat, Tyler, and Eli</t>
  </si>
  <si>
    <t xml:space="preserve">Other or Misc</t>
  </si>
  <si>
    <t xml:space="preserve">Intentional Bugs</t>
  </si>
  <si>
    <t xml:space="preserve">Art</t>
  </si>
  <si>
    <t xml:space="preserve">Roverdrive: Learn to Code</t>
  </si>
  <si>
    <t xml:space="preserve">Jeff</t>
  </si>
  <si>
    <t xml:space="preserve">Manaclysm: Massive Magic Mayhem</t>
  </si>
  <si>
    <t xml:space="preserve">Dustin</t>
  </si>
  <si>
    <t xml:space="preserve">Sentradel Beer Robot</t>
  </si>
  <si>
    <t xml:space="preserve">Q</t>
  </si>
  <si>
    <t xml:space="preserve">Engineering Art Show</t>
  </si>
  <si>
    <t xml:space="preserve">James Mertke</t>
  </si>
  <si>
    <t xml:space="preserve">tscircuit - Design Electronics with React</t>
  </si>
  <si>
    <t xml:space="preserve">Seve Ibarluzea</t>
  </si>
  <si>
    <t xml:space="preserve">CaDoodle CAD</t>
  </si>
  <si>
    <t xml:space="preserve">The CaDoodle Team</t>
  </si>
  <si>
    <t xml:space="preserve">CRT VR Headset</t>
  </si>
  <si>
    <t xml:space="preserve">Alan Boguslawski and Stephen Doeve</t>
  </si>
  <si>
    <t xml:space="preserve">Age of Bricks</t>
  </si>
  <si>
    <t xml:space="preserve">Jeremy Stott</t>
  </si>
  <si>
    <t xml:space="preserve">The Vending Machine that Charges in Pain</t>
  </si>
  <si>
    <t xml:space="preserve">Max Davy</t>
  </si>
  <si>
    <t xml:space="preserve">OASIS: Iron Man-Inspired Tech for Home and Cosplay Armor</t>
  </si>
  <si>
    <t xml:space="preserve">Kersey Fabrications</t>
  </si>
  <si>
    <t xml:space="preserve">27 Survivors</t>
  </si>
  <si>
    <t xml:space="preserve">Steven Gann</t>
  </si>
  <si>
    <t xml:space="preserve">ITGmania</t>
  </si>
  <si>
    <t xml:space="preserve">teejusb / Sujeet Bhandari</t>
  </si>
  <si>
    <t xml:space="preserve">Tombstone BattleBot</t>
  </si>
  <si>
    <t xml:space="preserve">Ray Billings</t>
  </si>
  <si>
    <t xml:space="preserve">L.L.E.O - AI powered Robot butler</t>
  </si>
  <si>
    <t xml:space="preserve">Tanay</t>
  </si>
  <si>
    <t xml:space="preserve">Devil Typocrypha: aLt-ESChatopia</t>
  </si>
  <si>
    <t xml:space="preserve">Altimagine Games</t>
  </si>
  <si>
    <t xml:space="preserve">The Overengineering Department</t>
  </si>
  <si>
    <t xml:space="preserve">Scalable Refreshable Tactile Display</t>
  </si>
  <si>
    <t xml:space="preserve">Ethan Hu</t>
  </si>
  <si>
    <t xml:space="preserve">Positron 3D x LDO</t>
  </si>
  <si>
    <t xml:space="preserve">Anthony</t>
  </si>
  <si>
    <t xml:space="preserve">Fabrication and 3D Printing</t>
  </si>
  <si>
    <t xml:space="preserve">Mosi Audio - MIDI Guitars and more</t>
  </si>
  <si>
    <t xml:space="preserve">Mosi Audio</t>
  </si>
  <si>
    <t xml:space="preserve">ALATURKA: Open-World 70s Istanbul</t>
  </si>
  <si>
    <t xml:space="preserve">Burak Aksahin (Bufuak)</t>
  </si>
  <si>
    <t xml:space="preserve">Horns of Deliverance</t>
  </si>
  <si>
    <t xml:space="preserve">schemesmith</t>
  </si>
  <si>
    <t xml:space="preserve">Alley Cat Open Source</t>
  </si>
  <si>
    <t xml:space="preserve">Alley Cat</t>
  </si>
  <si>
    <t xml:space="preserve">Magnoplotter: Analogue Aircraft Radar</t>
  </si>
  <si>
    <t xml:space="preserve">Conner, Joey, and Zach</t>
  </si>
  <si>
    <t xml:space="preserve">UVULITES</t>
  </si>
  <si>
    <t xml:space="preserve">Nathan Davis and Sahid Rojas</t>
  </si>
  <si>
    <t xml:space="preserve">Menlo-Atherton High School FRC Team 766 M-A Bears</t>
  </si>
  <si>
    <t xml:space="preserve">Team 766 M-A Bears</t>
  </si>
  <si>
    <t xml:space="preserve">Instagram Reel Reel</t>
  </si>
  <si>
    <t xml:space="preserve">Vera L.Z.</t>
  </si>
  <si>
    <t xml:space="preserve">Gigabyte The Battlebot</t>
  </si>
  <si>
    <t xml:space="preserve">Derek</t>
  </si>
  <si>
    <t xml:space="preserve">3D Printed Battle Tops</t>
  </si>
  <si>
    <t xml:space="preserve">Denise Bertacchi</t>
  </si>
  <si>
    <t xml:space="preserve">EnergyMe Home: Can You See Your Energy</t>
  </si>
  <si>
    <t xml:space="preserve">EnergyMe Team</t>
  </si>
  <si>
    <t xml:space="preserve">Team Blueshift - Bot Hockey</t>
  </si>
  <si>
    <t xml:space="preserve">Nicky</t>
  </si>
  <si>
    <t xml:space="preserve">Go Go V1D10!</t>
  </si>
  <si>
    <t xml:space="preserve">Mae</t>
  </si>
  <si>
    <t xml:space="preserve">Learn the Basics of Circuitry</t>
  </si>
  <si>
    <t xml:space="preserve">Skylar</t>
  </si>
  <si>
    <t xml:space="preserve">Steamboat Ed's Mechanical Whatsits</t>
  </si>
  <si>
    <t xml:space="preserve">Steamboat Ed</t>
  </si>
  <si>
    <t xml:space="preserve">OpenMote: Take Control Of Your Life</t>
  </si>
  <si>
    <t xml:space="preserve">Your Favorite Maker's Favorite Maker</t>
  </si>
  <si>
    <t xml:space="preserve">X-ray Vision: Crystallography to Solve Molecular Structure</t>
  </si>
  <si>
    <t xml:space="preserve">Lina Zarnitsa</t>
  </si>
  <si>
    <t xml:space="preserve">Kindred [High Tide]</t>
  </si>
  <si>
    <t xml:space="preserve">Vika Rafaelian</t>
  </si>
  <si>
    <t xml:space="preserve">Shepherd Mix! Animalistic Synthesizers</t>
  </si>
  <si>
    <t xml:space="preserve">Sam Kothe</t>
  </si>
  <si>
    <t xml:space="preserve">Barista Simulator</t>
  </si>
  <si>
    <t xml:space="preserve">Shaun Brian</t>
  </si>
  <si>
    <t xml:space="preserve">Open Source Foam Blasters</t>
  </si>
  <si>
    <t xml:space="preserve">Bay Area Foam Tag</t>
  </si>
  <si>
    <t xml:space="preserve">Printed on a desktop, paddled around Manhattan</t>
  </si>
  <si>
    <t xml:space="preserve">Electric Catan</t>
  </si>
  <si>
    <t xml:space="preserve">Digital Flock</t>
  </si>
  <si>
    <t xml:space="preserve">Meet Aimee!</t>
  </si>
  <si>
    <t xml:space="preserve">Scott Smallbeck</t>
  </si>
  <si>
    <t xml:space="preserve">Grendel Studios: Costumes, Props, and Animatronics</t>
  </si>
  <si>
    <t xml:space="preserve">Grendel Studios</t>
  </si>
  <si>
    <t xml:space="preserve">BigWings by Laura Mathews Art</t>
  </si>
  <si>
    <t xml:space="preserve">Laura Mathews Art</t>
  </si>
  <si>
    <t xml:space="preserve">Electronic Frontier Foundation (EFF)</t>
  </si>
  <si>
    <t xml:space="preserve">Christian</t>
  </si>
  <si>
    <t xml:space="preserve">LAN Party Machine</t>
  </si>
  <si>
    <t xml:space="preserve">Brian Whitsett, Ross Boetsma</t>
  </si>
  <si>
    <t xml:space="preserve">Fantasy Prop Items</t>
  </si>
  <si>
    <t xml:space="preserve">Callan Keesling</t>
  </si>
  <si>
    <t xml:space="preserve">Infinite Package</t>
  </si>
  <si>
    <t xml:space="preserve">Daniel</t>
  </si>
  <si>
    <t xml:space="preserve">VIPER</t>
  </si>
  <si>
    <t xml:space="preserve">Sundar</t>
  </si>
  <si>
    <t xml:space="preserve">Astropods: Starside Glaze + Dreamlayer Dragon</t>
  </si>
  <si>
    <t xml:space="preserve">CheesiMoon + Breadbinbran + Sugarfreemee</t>
  </si>
  <si>
    <t xml:space="preserve">Mechanical Pianical</t>
  </si>
  <si>
    <t xml:space="preserve">Karina Bender and George Grigoryan</t>
  </si>
  <si>
    <t xml:space="preserve">Oak Park Mechatronics Class</t>
  </si>
  <si>
    <t xml:space="preserve">Austin Lippincott</t>
  </si>
  <si>
    <t xml:space="preserve">WorkCell: Open-Source Fully Autonomous 3D Printing</t>
  </si>
  <si>
    <t xml:space="preserve">Aaditya</t>
  </si>
  <si>
    <t xml:space="preserve">QUILT</t>
  </si>
  <si>
    <t xml:space="preserve">hiccup</t>
  </si>
  <si>
    <t xml:space="preserve">Open-source Layerless 3D Printing, OpenCAL</t>
  </si>
  <si>
    <t xml:space="preserve">Design for Nanomanufacturing Lab</t>
  </si>
  <si>
    <t xml:space="preserve">Meet Hex, An Open-Source Hexapod</t>
  </si>
  <si>
    <t xml:space="preserve">Zack, Dillon, and Danny</t>
  </si>
  <si>
    <t xml:space="preserve">AIZEE, open-source lab robot</t>
  </si>
  <si>
    <t xml:space="preserve">LTR LABS</t>
  </si>
  <si>
    <t xml:space="preserve">NASA</t>
  </si>
  <si>
    <t xml:space="preserve">NASA's Ames Research Center</t>
  </si>
  <si>
    <t xml:space="preserve">Full Moon Guildhouse Simulator</t>
  </si>
  <si>
    <t xml:space="preserve">NekoNyaa28</t>
  </si>
  <si>
    <t xml:space="preserve">Vibeengineering - Hardware from a chat</t>
  </si>
  <si>
    <t xml:space="preserve">ATeam</t>
  </si>
  <si>
    <t xml:space="preserve">Ion Fossil Prep</t>
  </si>
  <si>
    <t xml:space="preserve">Parker Tyler</t>
  </si>
  <si>
    <t xml:space="preserve">CSH Devcade: Custom Arcade Cabinet</t>
  </si>
  <si>
    <t xml:space="preserve">Computer Science House</t>
  </si>
  <si>
    <t xml:space="preserve">Underwater Robot for Cave Exploration</t>
  </si>
  <si>
    <t xml:space="preserve">Anthony Engineers</t>
  </si>
  <si>
    <t xml:space="preserve">Cycloidal Planetary QDD Actuator</t>
  </si>
  <si>
    <t xml:space="preserve">Caden Kraft</t>
  </si>
  <si>
    <t xml:space="preserve">Interactive Demon Core</t>
  </si>
  <si>
    <t xml:space="preserve">Ginger Solis</t>
  </si>
  <si>
    <t xml:space="preserve">Recital of the Heart</t>
  </si>
  <si>
    <t xml:space="preserve">Kiefer Nemeth</t>
  </si>
  <si>
    <t xml:space="preserve">10FT Minecraft Boat</t>
  </si>
  <si>
    <t xml:space="preserve">Kevin Ding</t>
  </si>
  <si>
    <t xml:space="preserve">The Swedish Furniture Tarot</t>
  </si>
  <si>
    <t xml:space="preserve">Lucien Caro</t>
  </si>
  <si>
    <t xml:space="preserve">go fetch Card Player</t>
  </si>
  <si>
    <t xml:space="preserve">Alex Ulin</t>
  </si>
  <si>
    <t xml:space="preserve">Invisible Friends</t>
  </si>
  <si>
    <t xml:space="preserve">San Francisco Microscopical Society</t>
  </si>
  <si>
    <t xml:space="preserve">DIY Micro 3D Printers</t>
  </si>
  <si>
    <t xml:space="preserve">Alex</t>
  </si>
  <si>
    <t xml:space="preserve">Floppy Disk Photo Booth</t>
  </si>
  <si>
    <t xml:space="preserve">Quinn</t>
  </si>
  <si>
    <t xml:space="preserve">Malice Battlebot</t>
  </si>
  <si>
    <t xml:space="preserve">Bunny David Liaw</t>
  </si>
  <si>
    <t xml:space="preserve">Pawprint Prototyping</t>
  </si>
  <si>
    <t xml:space="preserve">Pawprint Prototyping Membership</t>
  </si>
  <si>
    <t xml:space="preserve">Bringing Robots to Life - Semio Community</t>
  </si>
  <si>
    <t xml:space="preserve">Ross</t>
  </si>
  <si>
    <t xml:space="preserve">Attoparsec: Technical art for curious people</t>
  </si>
  <si>
    <t xml:space="preserve">Matthew 'Fish' Dockrey</t>
  </si>
  <si>
    <t xml:space="preserve">Democratization of the periodic table with Ionic Film Diodes</t>
  </si>
  <si>
    <t xml:space="preserve">Rowow LLC</t>
  </si>
  <si>
    <t xml:space="preserve">Volunteers Are Makers Too</t>
  </si>
  <si>
    <t xml:space="preserve">The Voluntears of Open Sauce</t>
  </si>
  <si>
    <t xml:space="preserve">Range of Motion Device</t>
  </si>
  <si>
    <t xml:space="preserve">Aarush Dhawan</t>
  </si>
  <si>
    <t xml:space="preserve">Crossy Road, Subway Surfers In Real Life</t>
  </si>
  <si>
    <t xml:space="preserve">Allison Ding</t>
  </si>
  <si>
    <t xml:space="preserve">WhitCorp Labs</t>
  </si>
  <si>
    <t xml:space="preserve">Dee Whitcomb</t>
  </si>
  <si>
    <t xml:space="preserve">Learn to Solder a wearable LED pin</t>
  </si>
  <si>
    <t xml:space="preserve">Jen</t>
  </si>
  <si>
    <t xml:space="preserve">Rocket Powered Laser (Garage Gas Dynamic laser)</t>
  </si>
  <si>
    <t xml:space="preserve">Joel Tsuchitori</t>
  </si>
  <si>
    <t xml:space="preserve">Aliens Trying to Be Human</t>
  </si>
  <si>
    <t xml:space="preserve">type lax</t>
  </si>
  <si>
    <t xml:space="preserve">The Stock Orb (Modular Real-Time Stock Market Lamp)</t>
  </si>
  <si>
    <t xml:space="preserve">Noah Sperling</t>
  </si>
  <si>
    <t xml:space="preserve">Multistage rapidfire coilgun</t>
  </si>
  <si>
    <t xml:space="preserve">Prospecting the Stars - Space Enterprise at Berkeley</t>
  </si>
  <si>
    <t xml:space="preserve">Space Enterprise at Berkeley</t>
  </si>
  <si>
    <t xml:space="preserve">SMACS Arizona Fire Ice</t>
  </si>
  <si>
    <t xml:space="preserve">Leo Delia</t>
  </si>
  <si>
    <t xml:space="preserve">CSH KILOBYTE: Motorized Shopping Cart</t>
  </si>
  <si>
    <t xml:space="preserve">100x100 Tic-Tac-Toe (And Complexity Theory)</t>
  </si>
  <si>
    <t xml:space="preserve">Guy Function and Co.</t>
  </si>
  <si>
    <t xml:space="preserve">Adaptive Learning: CS Curriculum for Everyone</t>
  </si>
  <si>
    <t xml:space="preserve">Code Artists</t>
  </si>
  <si>
    <t xml:space="preserve">offbrand games</t>
  </si>
  <si>
    <t xml:space="preserve">Electric Bugeye and the Amazing Thing Pointer</t>
  </si>
  <si>
    <t xml:space="preserve">Fish</t>
  </si>
  <si>
    <t xml:space="preserve">Now you see it Zoetrope and Split Flap Display</t>
  </si>
  <si>
    <t xml:space="preserve">Burnt out Bakery</t>
  </si>
  <si>
    <t xml:space="preserve">Open-Source Boat Sim Controller</t>
  </si>
  <si>
    <t xml:space="preserve">Bryan Racic</t>
  </si>
  <si>
    <t xml:space="preserve">Tech Rockstar Academy: Crash Go Bots</t>
  </si>
  <si>
    <t xml:space="preserve">Joah</t>
  </si>
  <si>
    <t xml:space="preserve">Keep Yapping or We're Cooked</t>
  </si>
  <si>
    <t xml:space="preserve">Bananium Labs</t>
  </si>
  <si>
    <t xml:space="preserve">Call Your Future Self</t>
  </si>
  <si>
    <t xml:space="preserve">veryhotgremlin (Hillary)</t>
  </si>
  <si>
    <t xml:space="preserve">Linos game showcase</t>
  </si>
  <si>
    <t xml:space="preserve">Linos</t>
  </si>
  <si>
    <t xml:space="preserve">Japanese Fire Truck + Head Unit</t>
  </si>
  <si>
    <t xml:space="preserve">James Rivers</t>
  </si>
  <si>
    <t xml:space="preserve">FIRST Tech Challenge Showcase</t>
  </si>
  <si>
    <t xml:space="preserve">Nithin</t>
  </si>
  <si>
    <t xml:space="preserve">The Stick Drop Game</t>
  </si>
  <si>
    <t xml:space="preserve">Brandon</t>
  </si>
  <si>
    <t xml:space="preserve">Aeternus Robotics - V5RC Robot</t>
  </si>
  <si>
    <t xml:space="preserve">Ethan Wang</t>
  </si>
  <si>
    <t xml:space="preserve">Build. Fight. Repeat. Father Son Combat Robotics</t>
  </si>
  <si>
    <t xml:space="preserve">CW MC Robotics Marcel Christian Williams</t>
  </si>
  <si>
    <t xml:space="preserve">Bathroom Smash</t>
  </si>
  <si>
    <t xml:space="preserve">William Cates</t>
  </si>
  <si>
    <t xml:space="preserve">EVAC Robotics - Bot Hockey</t>
  </si>
  <si>
    <t xml:space="preserve">JP Barkenhagen</t>
  </si>
  <si>
    <t xml:space="preserve">Orcas Makers</t>
  </si>
  <si>
    <t xml:space="preserve">Sierra College Robotics Club Demos</t>
  </si>
  <si>
    <t xml:space="preserve">Sierra College Robotics Club</t>
  </si>
  <si>
    <t xml:space="preserve">Analog Pixel Art: A DIY Cyanotype Printer</t>
  </si>
  <si>
    <t xml:space="preserve">MOSMAGE: Modular Open-Source Automated Genome Engineering</t>
  </si>
  <si>
    <t xml:space="preserve">uLeth iGem</t>
  </si>
  <si>
    <t xml:space="preserve">Team Exile Hockey Bots!</t>
  </si>
  <si>
    <t xml:space="preserve">Team Exile</t>
  </si>
  <si>
    <t xml:space="preserve">Fantasy Fantasy Football</t>
  </si>
  <si>
    <t xml:space="preserve">FF Games</t>
  </si>
  <si>
    <t xml:space="preserve">Auto Turret w/ Body tracking</t>
  </si>
  <si>
    <t xml:space="preserve">!w! print</t>
  </si>
  <si>
    <t xml:space="preserve">Analog Time Machines</t>
  </si>
  <si>
    <t xml:space="preserve">Chris and Ozzy Kirchberg</t>
  </si>
  <si>
    <t xml:space="preserve">Miniature Natural History Museum</t>
  </si>
  <si>
    <t xml:space="preserve">Sherwood, Sherwood Sons</t>
  </si>
  <si>
    <t xml:space="preserve">Open Workout System</t>
  </si>
  <si>
    <t xml:space="preserve">Aaron</t>
  </si>
  <si>
    <t xml:space="preserve">Bottango: DIY Animatronics</t>
  </si>
  <si>
    <t xml:space="preserve">Bottango</t>
  </si>
  <si>
    <t xml:space="preserve">BOBAMABOB - Boba Vending Machine Robot</t>
  </si>
  <si>
    <t xml:space="preserve">Jeremy Boetticher and Kevin Xu</t>
  </si>
  <si>
    <t xml:space="preserve">Science Shack</t>
  </si>
  <si>
    <t xml:space="preserve">Electric All-Wheel-Drive GoKart</t>
  </si>
  <si>
    <t xml:space="preserve">Noah S. Brody K.</t>
  </si>
  <si>
    <t xml:space="preserve">The Living Havoc</t>
  </si>
  <si>
    <t xml:space="preserve">Banished Builds</t>
  </si>
  <si>
    <t xml:space="preserve">ADSBee</t>
  </si>
  <si>
    <t xml:space="preserve">John McNelly + Pants for Birds LLC</t>
  </si>
  <si>
    <t xml:space="preserve">Samurai GUNN 2</t>
  </si>
  <si>
    <t xml:space="preserve">Adam</t>
  </si>
  <si>
    <t xml:space="preserve">Hysterical Strength</t>
  </si>
  <si>
    <t xml:space="preserve">Gamejax</t>
  </si>
  <si>
    <t xml:space="preserve">Treads, Hulls, Decibels: A Maker Exhibit</t>
  </si>
  <si>
    <t xml:space="preserve">Rustbelt Robotics</t>
  </si>
  <si>
    <t xml:space="preserve">The Thinker Teacher</t>
  </si>
  <si>
    <t xml:space="preserve">William Billich</t>
  </si>
  <si>
    <t xml:space="preserve">Mechanical Drawing Machines</t>
  </si>
  <si>
    <t xml:space="preserve">Valley Robotics Program</t>
  </si>
  <si>
    <t xml:space="preserve">The Camera Hacks Lab</t>
  </si>
  <si>
    <t xml:space="preserve">Malcolm-Jay</t>
  </si>
  <si>
    <t xml:space="preserve">CuriousMarc Vintage Electronics Restorations</t>
  </si>
  <si>
    <t xml:space="preserve">CuriousMarc</t>
  </si>
  <si>
    <t xml:space="preserve">Ankle Chomper</t>
  </si>
  <si>
    <t xml:space="preserve">3tree Games</t>
  </si>
  <si>
    <t xml:space="preserve">Taser Knife Fighting</t>
  </si>
  <si>
    <t xml:space="preserve">HYPERFIGHT 2</t>
  </si>
  <si>
    <t xml:space="preserve">studio joh</t>
  </si>
  <si>
    <t xml:space="preserve">The Human Lab Rat</t>
  </si>
  <si>
    <t xml:space="preserve">Austin Witherspoon</t>
  </si>
  <si>
    <t xml:space="preserve">VR Arcade Flight Simulator</t>
  </si>
  <si>
    <t xml:space="preserve">Stephen Heffren</t>
  </si>
  <si>
    <t xml:space="preserve">Sentry Six</t>
  </si>
  <si>
    <t xml:space="preserve">CSH Caption Glasses</t>
  </si>
  <si>
    <t xml:space="preserve">Project KegRocket</t>
  </si>
  <si>
    <t xml:space="preserve">Team KegRocket</t>
  </si>
  <si>
    <t xml:space="preserve">True scale warhammer</t>
  </si>
  <si>
    <t xml:space="preserve">TROY</t>
  </si>
  <si>
    <t xml:space="preserve">GigaTurtles: Chaotic Couch PvP Fun!</t>
  </si>
  <si>
    <t xml:space="preserve">Weird Dog Games</t>
  </si>
  <si>
    <t xml:space="preserve">Haptic Gloves</t>
  </si>
  <si>
    <t xml:space="preserve">SoupyLabs</t>
  </si>
  <si>
    <t xml:space="preserve">CSH Bits 'n Bytes: AI Vision Smart Vending</t>
  </si>
  <si>
    <t xml:space="preserve">D-BEAT HEROES</t>
  </si>
  <si>
    <t xml:space="preserve">jqtran.dev</t>
  </si>
  <si>
    <t xml:space="preserve">Robotic Lemonade Stand</t>
  </si>
  <si>
    <t xml:space="preserve">RAMEN Labs</t>
  </si>
  <si>
    <t xml:space="preserve">Fugue Shot: The Arcade Roguelike</t>
  </si>
  <si>
    <t xml:space="preserve">Rare Dialect</t>
  </si>
  <si>
    <t xml:space="preserve">Lupine Instruments AP-1 Acoustic Drum Machine</t>
  </si>
  <si>
    <t xml:space="preserve">Jordan Wolfe</t>
  </si>
  <si>
    <t xml:space="preserve">Iron Panthers Robotics</t>
  </si>
  <si>
    <t xml:space="preserve">Iron Panthers Robotics Team - FRC 5026</t>
  </si>
  <si>
    <t xml:space="preserve">CREATURE CRAFTING</t>
  </si>
  <si>
    <t xml:space="preserve">Roxxie</t>
  </si>
  <si>
    <t xml:space="preserve">WhoopTag FPV Drone Laser Tag</t>
  </si>
  <si>
    <t xml:space="preserve">Ben Schraeder</t>
  </si>
  <si>
    <t xml:space="preserve">SC Robotics Mars Rover</t>
  </si>
  <si>
    <t xml:space="preserve">SC Robotics</t>
  </si>
  <si>
    <t xml:space="preserve">Tiny Bot Competitive Activities</t>
  </si>
  <si>
    <t xml:space="preserve">Steven Lukow</t>
  </si>
  <si>
    <t xml:space="preserve">Tech High Combat Robotics</t>
  </si>
  <si>
    <t xml:space="preserve">Abigail: A Handcrafted Videogame Made Out of Felt</t>
  </si>
  <si>
    <t xml:space="preserve">hapshapen games</t>
  </si>
  <si>
    <t xml:space="preserve">Rotatrix - A 3D Trackball for Makers</t>
  </si>
  <si>
    <t xml:space="preserve">David</t>
  </si>
  <si>
    <t xml:space="preserve">Staccato: 3D-Printed Piano</t>
  </si>
  <si>
    <t xml:space="preserve">Dovetail (Brian Yu)</t>
  </si>
  <si>
    <t xml:space="preserve">Spark: Prototype Evolved</t>
  </si>
  <si>
    <t xml:space="preserve">Fawaz</t>
  </si>
  <si>
    <t xml:space="preserve">VR Typing Lab</t>
  </si>
  <si>
    <t xml:space="preserve">Ned Twigg</t>
  </si>
  <si>
    <t xml:space="preserve">Gear Heads FRC 2813 Robot Demonstration</t>
  </si>
  <si>
    <t xml:space="preserve">FRC 2813 - The Gear Heads</t>
  </si>
  <si>
    <t xml:space="preserve">OpenSAINT - A modern robot replica</t>
  </si>
  <si>
    <t xml:space="preserve">Input-Inc.</t>
  </si>
  <si>
    <t xml:space="preserve">Hear us R.O.A.R. - open source communication devices</t>
  </si>
  <si>
    <t xml:space="preserve">R.O.A.R. Rex's Open Assistive Resources</t>
  </si>
  <si>
    <t xml:space="preserve">Tiny Robot Soccer!</t>
  </si>
  <si>
    <t xml:space="preserve">Full Contact Engineering</t>
  </si>
  <si>
    <t xml:space="preserve">3D Printed Puzzles</t>
  </si>
  <si>
    <t xml:space="preserve">Draco and the Seven Sccales</t>
  </si>
  <si>
    <t xml:space="preserve">Ice Goat Games</t>
  </si>
  <si>
    <t xml:space="preserve">Vinylessence: World's First Smart LED Vinyl Slipmat</t>
  </si>
  <si>
    <t xml:space="preserve">Caleb</t>
  </si>
  <si>
    <t xml:space="preserve">Cutting Edge: Roots Of Mutation</t>
  </si>
  <si>
    <t xml:space="preserve">Wizbird Games</t>
  </si>
  <si>
    <t xml:space="preserve">Rubik's Cube Computer (Qter)</t>
  </si>
  <si>
    <t xml:space="preserve">Henry Rovnyak</t>
  </si>
  <si>
    <t xml:space="preserve">Count</t>
  </si>
  <si>
    <t xml:space="preserve">% of Total</t>
  </si>
  <si>
    <t xml:space="preserve">Bar</t>
  </si>
  <si>
    <t xml:space="preserve">TOTAL</t>
  </si>
  <si>
    <t xml:space="preserve">PRISM — CONVERGENCE EXAMPLES (proof of concept)</t>
  </si>
  <si>
    <t xml:space="preserve">Each row links exhibitors who don't share a category but whose technologies combine into something neither is doing alone.</t>
  </si>
  <si>
    <t xml:space="preserve">Prism reading: GREEN = flourishing / high-leverage, PURPLE = partial, ORANGE = stagnant, RED = cautionary.</t>
  </si>
  <si>
    <t xml:space="preserve">Convergence</t>
  </si>
  <si>
    <t xml:space="preserve">Exhibitor A</t>
  </si>
  <si>
    <t xml:space="preserve">Exhibitor B (+ more)</t>
  </si>
  <si>
    <t xml:space="preserve">The inference — what X + Y makes possible</t>
  </si>
  <si>
    <t xml:space="preserve">Prism</t>
  </si>
  <si>
    <t xml:space="preserve">Opportunity / pathway</t>
  </si>
  <si>
    <t xml:space="preserve">Student ground-to-space telemetry</t>
  </si>
  <si>
    <t xml:space="preserve">Saddleback Rocketry (Rocketry)</t>
  </si>
  <si>
    <t xml:space="preserve">DIY Satellite Antennas · ADSBee · Magnoplotter radar</t>
  </si>
  <si>
    <t xml:space="preserve">Amateur rocket &amp; drone teams gain a shared long-range tracking + downlink stack built from surplus parts — safer, higher-altitude launches with live data.</t>
  </si>
  <si>
    <t xml:space="preserve">GREEN</t>
  </si>
  <si>
    <t xml:space="preserve">Firefly Aerospace (sponsor), Space Enterprise @ Berkeley, university aero grants</t>
  </si>
  <si>
    <t xml:space="preserve">Open assistive-tech suite</t>
  </si>
  <si>
    <t xml:space="preserve">Hear us R.O.A.R. (assistive comms)</t>
  </si>
  <si>
    <t xml:space="preserve">Range of Motion Device · Adaptive Tech Club · Haptic Gloves · Tactile Display</t>
  </si>
  <si>
    <t xml:space="preserve">A modular, open hardware kit for accessibility — communication, motion, and haptic feedback that any maker or clinic can build and adapt.</t>
  </si>
  <si>
    <t xml:space="preserve">Disability/accessibility grants (state + federal), medical-device partners, iFixit</t>
  </si>
  <si>
    <t xml:space="preserve">Distributed open manufacturing</t>
  </si>
  <si>
    <t xml:space="preserve">WorkCell: Autonomous 3D Printing</t>
  </si>
  <si>
    <t xml:space="preserve">Positron 3D · OpenCAL Layerless Printing · DIY Micro 3D Printers</t>
  </si>
  <si>
    <t xml:space="preserve">A networked, self-running print farm from open parts — small makers get factory-scale output without factory capital.</t>
  </si>
  <si>
    <t xml:space="preserve">Formlabs / Makera / Prusa (sponsors), small-business manufacturing grants</t>
  </si>
  <si>
    <t xml:space="preserve">AI-assisted hardware design toolchain</t>
  </si>
  <si>
    <t xml:space="preserve">tscircuit (electronics in React)</t>
  </si>
  <si>
    <t xml:space="preserve">CaDoodle CAD · Vibeengineering (hardware from a chat)</t>
  </si>
  <si>
    <t xml:space="preserve">Describe a board in plain language, auto-route it, get it fabbed — collapses the idea-to-PCB gap for beginners.</t>
  </si>
  <si>
    <t xml:space="preserve">PCBWay / Seeed Studio, dev-tool startups, Kickstarter</t>
  </si>
  <si>
    <t xml:space="preserve">Combat-robotics league &amp; curriculum</t>
  </si>
  <si>
    <t xml:space="preserve">Gigabyte · Malice · Team Exile · Experimental Division (UT Austin)</t>
  </si>
  <si>
    <t xml:space="preserve">A standardized build-fight-teach circuit turns scattered teams into a franchise-able league with an education on-ramp.</t>
  </si>
  <si>
    <t xml:space="preserve">Ultimate Bots (sponsor), schools/universities, sponsorship &amp; ticketed events</t>
  </si>
  <si>
    <t xml:space="preserve">Wearable AI vision stack</t>
  </si>
  <si>
    <t xml:space="preserve">CSH Caption Glasses · Auto Turret body-tracking</t>
  </si>
  <si>
    <t xml:space="preserve">Shared low-cost eyewear platform: real-time captions, object ID, and tracking — accessibility and AR from one open base.</t>
  </si>
  <si>
    <t xml:space="preserve">PURPLE</t>
  </si>
  <si>
    <t xml:space="preserve">Accessibility funds, AR startups, semiconductor sponsors</t>
  </si>
  <si>
    <t xml:space="preserve">Open electromechanical instruments</t>
  </si>
  <si>
    <t xml:space="preserve">Musical Floppy Drives</t>
  </si>
  <si>
    <t xml:space="preserve">Mechanical Pianical · Staccato 3D Piano · Lupine Acoustic Drum Machine</t>
  </si>
  <si>
    <t xml:space="preserve">A common standard for robotic acoustic instruments — makers compose for real mechanical hardware, not just samples.</t>
  </si>
  <si>
    <t xml:space="preserve">Music-tech, education, maker-kit sales</t>
  </si>
  <si>
    <t xml:space="preserve">Ambient data-display platform</t>
  </si>
  <si>
    <t xml:space="preserve">The Stock Orb (market lamp)</t>
  </si>
  <si>
    <t xml:space="preserve">EnergyMe Home · go fetch Card Player</t>
  </si>
  <si>
    <t xml:space="preserve">One open 'ambient display' framework repurposed across finance, energy, and play — glanceable data objects for the home.</t>
  </si>
  <si>
    <t xml:space="preserve">ORANGE</t>
  </si>
  <si>
    <t xml:space="preserve">Smart-home brands, prosumer kits</t>
  </si>
  <si>
    <t xml:space="preserve">Backyard aerospace propulsion — caution</t>
  </si>
  <si>
    <t xml:space="preserve">Rocket Powered Laser</t>
  </si>
  <si>
    <t xml:space="preserve">Multistage rapidfire coilgun · Solar drone</t>
  </si>
  <si>
    <t xml:space="preserve">High-energy DIY propulsion/energy projects share safety, materials, and regulatory hurdles — powerful, but needs guardrails.</t>
  </si>
  <si>
    <t xml:space="preserve">RED</t>
  </si>
  <si>
    <t xml:space="preserve">Safety review, insurers, regulated-industry mentors</t>
  </si>
  <si>
    <t xml:space="preserve">Open science instrumentation</t>
  </si>
  <si>
    <t xml:space="preserve">X-ray Vision (crystallography)</t>
  </si>
  <si>
    <t xml:space="preserve">Ionic Film Diodes periodic table · Miniature Natural History Museum</t>
  </si>
  <si>
    <t xml:space="preserve">Low-cost open lab instruments make real science reproducible in classrooms and garages.</t>
  </si>
  <si>
    <t xml:space="preserve">STEM education grants, university outreach, NASA Ames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</si>
</sst>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8"/>
      <color rgb="FF14B8A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1F5F9"/>
        <bgColor rgb="FFFFFFFF"/>
      </patternFill>
    </fill>
    <fill>
      <patternFill patternType="solid">
        <fgColor rgb="FF10B981"/>
        <bgColor rgb="FF14B8A6"/>
      </patternFill>
    </fill>
    <fill>
      <patternFill patternType="solid">
        <fgColor rgb="FF8B5CF6"/>
        <bgColor rgb="FF6B7280"/>
      </patternFill>
    </fill>
    <fill>
      <patternFill patternType="solid">
        <fgColor rgb="FFF59E0B"/>
        <bgColor rgb="FFFFCC00"/>
      </patternFill>
    </fill>
    <fill>
      <patternFill patternType="solid">
        <fgColor rgb="FFEF444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B5CF6"/>
      <rgbColor rgb="FF993366"/>
      <rgbColor rgb="FFF1F5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4B8A6"/>
      <rgbColor rgb="FF99CC00"/>
      <rgbColor rgb="FFFFCC00"/>
      <rgbColor rgb="FFF59E0B"/>
      <rgbColor rgb="FFEF4444"/>
      <rgbColor rgb="FF6B7280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/>
      <c r="F2" s="2"/>
    </row>
    <row r="3" customFormat="false" ht="15" hidden="false" customHeight="false" outlineLevel="0" collapsed="false">
      <c r="A3" s="3" t="n">
        <v>2</v>
      </c>
      <c r="B3" s="3" t="s">
        <v>9</v>
      </c>
      <c r="C3" s="3" t="s">
        <v>10</v>
      </c>
      <c r="D3" s="3" t="s">
        <v>11</v>
      </c>
      <c r="E3" s="3"/>
      <c r="F3" s="3"/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13</v>
      </c>
      <c r="D4" s="2" t="s">
        <v>11</v>
      </c>
      <c r="E4" s="2"/>
      <c r="F4" s="2"/>
    </row>
    <row r="5" customFormat="false" ht="15" hidden="false" customHeight="false" outlineLevel="0" collapsed="false">
      <c r="A5" s="3" t="n">
        <v>4</v>
      </c>
      <c r="B5" s="3" t="s">
        <v>14</v>
      </c>
      <c r="C5" s="3" t="s">
        <v>15</v>
      </c>
      <c r="D5" s="3" t="s">
        <v>16</v>
      </c>
      <c r="E5" s="3"/>
      <c r="F5" s="3"/>
    </row>
    <row r="6" customFormat="false" ht="15" hidden="false" customHeight="false" outlineLevel="0" collapsed="false">
      <c r="A6" s="2" t="n">
        <v>5</v>
      </c>
      <c r="B6" s="2" t="s">
        <v>17</v>
      </c>
      <c r="C6" s="2" t="s">
        <v>17</v>
      </c>
      <c r="D6" s="2" t="s">
        <v>18</v>
      </c>
      <c r="E6" s="2"/>
      <c r="F6" s="2"/>
    </row>
    <row r="7" customFormat="false" ht="15" hidden="false" customHeight="false" outlineLevel="0" collapsed="false">
      <c r="A7" s="3" t="n">
        <v>6</v>
      </c>
      <c r="B7" s="3" t="s">
        <v>19</v>
      </c>
      <c r="C7" s="3" t="s">
        <v>20</v>
      </c>
      <c r="D7" s="3" t="s">
        <v>21</v>
      </c>
      <c r="E7" s="3"/>
      <c r="F7" s="3"/>
    </row>
    <row r="8" customFormat="false" ht="15" hidden="false" customHeight="false" outlineLevel="0" collapsed="false">
      <c r="A8" s="2" t="n">
        <v>7</v>
      </c>
      <c r="B8" s="2" t="s">
        <v>22</v>
      </c>
      <c r="C8" s="2" t="s">
        <v>23</v>
      </c>
      <c r="D8" s="2" t="s">
        <v>24</v>
      </c>
      <c r="E8" s="2"/>
      <c r="F8" s="2"/>
    </row>
    <row r="9" customFormat="false" ht="15" hidden="false" customHeight="false" outlineLevel="0" collapsed="false">
      <c r="A9" s="3" t="n">
        <v>8</v>
      </c>
      <c r="B9" s="3" t="s">
        <v>25</v>
      </c>
      <c r="C9" s="3" t="s">
        <v>26</v>
      </c>
      <c r="D9" s="3" t="s">
        <v>27</v>
      </c>
      <c r="E9" s="3"/>
      <c r="F9" s="3"/>
    </row>
    <row r="10" customFormat="false" ht="15" hidden="false" customHeight="false" outlineLevel="0" collapsed="false">
      <c r="A10" s="2" t="n">
        <v>9</v>
      </c>
      <c r="B10" s="2" t="s">
        <v>28</v>
      </c>
      <c r="C10" s="2" t="s">
        <v>29</v>
      </c>
      <c r="D10" s="2" t="s">
        <v>30</v>
      </c>
      <c r="E10" s="2"/>
      <c r="F10" s="2"/>
    </row>
    <row r="11" customFormat="false" ht="15" hidden="false" customHeight="false" outlineLevel="0" collapsed="false">
      <c r="A11" s="3" t="n">
        <v>10</v>
      </c>
      <c r="B11" s="3" t="s">
        <v>31</v>
      </c>
      <c r="C11" s="3" t="s">
        <v>32</v>
      </c>
      <c r="D11" s="3" t="s">
        <v>33</v>
      </c>
      <c r="E11" s="3"/>
      <c r="F11" s="3"/>
    </row>
    <row r="12" customFormat="false" ht="15" hidden="false" customHeight="false" outlineLevel="0" collapsed="false">
      <c r="A12" s="2" t="n">
        <v>11</v>
      </c>
      <c r="B12" s="2" t="s">
        <v>34</v>
      </c>
      <c r="C12" s="2" t="s">
        <v>35</v>
      </c>
      <c r="D12" s="2" t="s">
        <v>8</v>
      </c>
      <c r="E12" s="2"/>
      <c r="F12" s="2"/>
    </row>
    <row r="13" customFormat="false" ht="15" hidden="false" customHeight="false" outlineLevel="0" collapsed="false">
      <c r="A13" s="3" t="n">
        <v>12</v>
      </c>
      <c r="B13" s="3" t="s">
        <v>36</v>
      </c>
      <c r="C13" s="3" t="s">
        <v>37</v>
      </c>
      <c r="D13" s="3" t="s">
        <v>38</v>
      </c>
      <c r="E13" s="3"/>
      <c r="F13" s="3"/>
    </row>
    <row r="14" customFormat="false" ht="15" hidden="false" customHeight="false" outlineLevel="0" collapsed="false">
      <c r="A14" s="2" t="n">
        <v>13</v>
      </c>
      <c r="B14" s="2" t="s">
        <v>39</v>
      </c>
      <c r="C14" s="2" t="s">
        <v>40</v>
      </c>
      <c r="D14" s="2" t="s">
        <v>8</v>
      </c>
      <c r="E14" s="2"/>
      <c r="F14" s="2"/>
    </row>
    <row r="15" customFormat="false" ht="15" hidden="false" customHeight="false" outlineLevel="0" collapsed="false">
      <c r="A15" s="3" t="n">
        <v>14</v>
      </c>
      <c r="B15" s="3" t="s">
        <v>41</v>
      </c>
      <c r="C15" s="3" t="s">
        <v>42</v>
      </c>
      <c r="D15" s="3" t="s">
        <v>33</v>
      </c>
      <c r="E15" s="3"/>
      <c r="F15" s="3"/>
    </row>
    <row r="16" customFormat="false" ht="15" hidden="false" customHeight="false" outlineLevel="0" collapsed="false">
      <c r="A16" s="2" t="n">
        <v>15</v>
      </c>
      <c r="B16" s="2" t="s">
        <v>43</v>
      </c>
      <c r="C16" s="2" t="s">
        <v>44</v>
      </c>
      <c r="D16" s="2" t="s">
        <v>27</v>
      </c>
      <c r="E16" s="2"/>
      <c r="F16" s="2"/>
    </row>
    <row r="17" customFormat="false" ht="15" hidden="false" customHeight="false" outlineLevel="0" collapsed="false">
      <c r="A17" s="3" t="n">
        <v>16</v>
      </c>
      <c r="B17" s="3" t="s">
        <v>45</v>
      </c>
      <c r="C17" s="3" t="s">
        <v>46</v>
      </c>
      <c r="D17" s="3" t="s">
        <v>47</v>
      </c>
      <c r="E17" s="3"/>
      <c r="F17" s="3"/>
    </row>
    <row r="18" customFormat="false" ht="15" hidden="false" customHeight="false" outlineLevel="0" collapsed="false">
      <c r="A18" s="2" t="n">
        <v>17</v>
      </c>
      <c r="B18" s="2" t="s">
        <v>48</v>
      </c>
      <c r="C18" s="2" t="s">
        <v>49</v>
      </c>
      <c r="D18" s="2" t="s">
        <v>50</v>
      </c>
      <c r="E18" s="2"/>
      <c r="F18" s="2"/>
    </row>
    <row r="19" customFormat="false" ht="15" hidden="false" customHeight="false" outlineLevel="0" collapsed="false">
      <c r="A19" s="3" t="n">
        <v>18</v>
      </c>
      <c r="B19" s="3" t="s">
        <v>51</v>
      </c>
      <c r="C19" s="3" t="s">
        <v>52</v>
      </c>
      <c r="D19" s="3" t="s">
        <v>30</v>
      </c>
      <c r="E19" s="3"/>
      <c r="F19" s="3"/>
    </row>
    <row r="20" customFormat="false" ht="15" hidden="false" customHeight="false" outlineLevel="0" collapsed="false">
      <c r="A20" s="2" t="n">
        <v>19</v>
      </c>
      <c r="B20" s="2" t="s">
        <v>53</v>
      </c>
      <c r="C20" s="2" t="s">
        <v>54</v>
      </c>
      <c r="D20" s="2" t="s">
        <v>55</v>
      </c>
      <c r="E20" s="2"/>
      <c r="F20" s="2"/>
    </row>
    <row r="21" customFormat="false" ht="15" hidden="false" customHeight="false" outlineLevel="0" collapsed="false">
      <c r="A21" s="3" t="n">
        <v>20</v>
      </c>
      <c r="B21" s="3" t="s">
        <v>56</v>
      </c>
      <c r="C21" s="3" t="s">
        <v>57</v>
      </c>
      <c r="D21" s="3" t="s">
        <v>8</v>
      </c>
      <c r="E21" s="3"/>
      <c r="F21" s="3"/>
    </row>
    <row r="22" customFormat="false" ht="15" hidden="false" customHeight="false" outlineLevel="0" collapsed="false">
      <c r="A22" s="2" t="n">
        <v>21</v>
      </c>
      <c r="B22" s="2" t="s">
        <v>58</v>
      </c>
      <c r="C22" s="2" t="s">
        <v>59</v>
      </c>
      <c r="D22" s="2" t="s">
        <v>27</v>
      </c>
      <c r="E22" s="2"/>
      <c r="F22" s="2"/>
    </row>
    <row r="23" customFormat="false" ht="15" hidden="false" customHeight="false" outlineLevel="0" collapsed="false">
      <c r="A23" s="3" t="n">
        <v>22</v>
      </c>
      <c r="B23" s="3" t="s">
        <v>60</v>
      </c>
      <c r="C23" s="3" t="s">
        <v>61</v>
      </c>
      <c r="D23" s="3" t="s">
        <v>16</v>
      </c>
      <c r="E23" s="3"/>
      <c r="F23" s="3"/>
    </row>
    <row r="24" customFormat="false" ht="15" hidden="false" customHeight="false" outlineLevel="0" collapsed="false">
      <c r="A24" s="2" t="n">
        <v>23</v>
      </c>
      <c r="B24" s="2" t="s">
        <v>62</v>
      </c>
      <c r="C24" s="2" t="s">
        <v>63</v>
      </c>
      <c r="D24" s="2" t="s">
        <v>16</v>
      </c>
      <c r="E24" s="2"/>
      <c r="F24" s="2"/>
    </row>
    <row r="25" customFormat="false" ht="15" hidden="false" customHeight="false" outlineLevel="0" collapsed="false">
      <c r="A25" s="3" t="n">
        <v>24</v>
      </c>
      <c r="B25" s="3" t="s">
        <v>64</v>
      </c>
      <c r="C25" s="3" t="s">
        <v>65</v>
      </c>
      <c r="D25" s="3" t="s">
        <v>66</v>
      </c>
      <c r="E25" s="3"/>
      <c r="F25" s="3"/>
    </row>
    <row r="26" customFormat="false" ht="15" hidden="false" customHeight="false" outlineLevel="0" collapsed="false">
      <c r="A26" s="2" t="n">
        <v>25</v>
      </c>
      <c r="B26" s="2" t="s">
        <v>67</v>
      </c>
      <c r="C26" s="2" t="s">
        <v>68</v>
      </c>
      <c r="D26" s="2" t="s">
        <v>16</v>
      </c>
      <c r="E26" s="2"/>
      <c r="F26" s="2"/>
    </row>
    <row r="27" customFormat="false" ht="15" hidden="false" customHeight="false" outlineLevel="0" collapsed="false">
      <c r="A27" s="3" t="n">
        <v>26</v>
      </c>
      <c r="B27" s="3" t="s">
        <v>69</v>
      </c>
      <c r="C27" s="3" t="s">
        <v>70</v>
      </c>
      <c r="D27" s="3" t="s">
        <v>24</v>
      </c>
      <c r="E27" s="3"/>
      <c r="F27" s="3"/>
    </row>
    <row r="28" customFormat="false" ht="15" hidden="false" customHeight="false" outlineLevel="0" collapsed="false">
      <c r="A28" s="2" t="n">
        <v>27</v>
      </c>
      <c r="B28" s="2" t="s">
        <v>71</v>
      </c>
      <c r="C28" s="2" t="s">
        <v>72</v>
      </c>
      <c r="D28" s="2" t="s">
        <v>16</v>
      </c>
      <c r="E28" s="2"/>
      <c r="F28" s="2"/>
    </row>
    <row r="29" customFormat="false" ht="15" hidden="false" customHeight="false" outlineLevel="0" collapsed="false">
      <c r="A29" s="3" t="n">
        <v>28</v>
      </c>
      <c r="B29" s="3" t="s">
        <v>73</v>
      </c>
      <c r="C29" s="3" t="s">
        <v>74</v>
      </c>
      <c r="D29" s="3" t="s">
        <v>47</v>
      </c>
      <c r="E29" s="3"/>
      <c r="F29" s="3"/>
    </row>
    <row r="30" customFormat="false" ht="15" hidden="false" customHeight="false" outlineLevel="0" collapsed="false">
      <c r="A30" s="2" t="n">
        <v>29</v>
      </c>
      <c r="B30" s="2" t="s">
        <v>75</v>
      </c>
      <c r="C30" s="2" t="s">
        <v>76</v>
      </c>
      <c r="D30" s="2" t="s">
        <v>16</v>
      </c>
      <c r="E30" s="2"/>
      <c r="F30" s="2"/>
    </row>
    <row r="31" customFormat="false" ht="15" hidden="false" customHeight="false" outlineLevel="0" collapsed="false">
      <c r="A31" s="3" t="n">
        <v>30</v>
      </c>
      <c r="B31" s="3" t="s">
        <v>77</v>
      </c>
      <c r="C31" s="3" t="s">
        <v>78</v>
      </c>
      <c r="D31" s="3" t="s">
        <v>66</v>
      </c>
      <c r="E31" s="3"/>
      <c r="F31" s="3"/>
    </row>
    <row r="32" customFormat="false" ht="15" hidden="false" customHeight="false" outlineLevel="0" collapsed="false">
      <c r="A32" s="2" t="n">
        <v>31</v>
      </c>
      <c r="B32" s="2" t="s">
        <v>79</v>
      </c>
      <c r="C32" s="2" t="s">
        <v>80</v>
      </c>
      <c r="D32" s="2" t="s">
        <v>24</v>
      </c>
      <c r="E32" s="2"/>
      <c r="F32" s="2"/>
    </row>
    <row r="33" customFormat="false" ht="15" hidden="false" customHeight="false" outlineLevel="0" collapsed="false">
      <c r="A33" s="3" t="n">
        <v>32</v>
      </c>
      <c r="B33" s="3" t="s">
        <v>81</v>
      </c>
      <c r="C33" s="3" t="s">
        <v>82</v>
      </c>
      <c r="D33" s="3" t="s">
        <v>24</v>
      </c>
      <c r="E33" s="3"/>
      <c r="F33" s="3"/>
    </row>
    <row r="34" customFormat="false" ht="15" hidden="false" customHeight="false" outlineLevel="0" collapsed="false">
      <c r="A34" s="2" t="n">
        <v>33</v>
      </c>
      <c r="B34" s="2" t="s">
        <v>83</v>
      </c>
      <c r="C34" s="2" t="s">
        <v>84</v>
      </c>
      <c r="D34" s="2" t="s">
        <v>85</v>
      </c>
      <c r="E34" s="2"/>
      <c r="F34" s="2"/>
    </row>
    <row r="35" customFormat="false" ht="15" hidden="false" customHeight="false" outlineLevel="0" collapsed="false">
      <c r="A35" s="3" t="n">
        <v>34</v>
      </c>
      <c r="B35" s="3" t="s">
        <v>86</v>
      </c>
      <c r="C35" s="3" t="s">
        <v>87</v>
      </c>
      <c r="D35" s="3" t="s">
        <v>50</v>
      </c>
      <c r="E35" s="3"/>
      <c r="F35" s="3"/>
    </row>
    <row r="36" customFormat="false" ht="15" hidden="false" customHeight="false" outlineLevel="0" collapsed="false">
      <c r="A36" s="2" t="n">
        <v>35</v>
      </c>
      <c r="B36" s="2" t="s">
        <v>88</v>
      </c>
      <c r="C36" s="2" t="s">
        <v>89</v>
      </c>
      <c r="D36" s="2" t="s">
        <v>8</v>
      </c>
      <c r="E36" s="2"/>
      <c r="F36" s="2"/>
    </row>
    <row r="37" customFormat="false" ht="15" hidden="false" customHeight="false" outlineLevel="0" collapsed="false">
      <c r="A37" s="3" t="n">
        <v>36</v>
      </c>
      <c r="B37" s="3" t="s">
        <v>90</v>
      </c>
      <c r="C37" s="3" t="s">
        <v>91</v>
      </c>
      <c r="D37" s="3" t="s">
        <v>8</v>
      </c>
      <c r="E37" s="3"/>
      <c r="F37" s="3"/>
    </row>
    <row r="38" customFormat="false" ht="15" hidden="false" customHeight="false" outlineLevel="0" collapsed="false">
      <c r="A38" s="2" t="n">
        <v>37</v>
      </c>
      <c r="B38" s="2" t="s">
        <v>92</v>
      </c>
      <c r="C38" s="2" t="s">
        <v>93</v>
      </c>
      <c r="D38" s="2" t="s">
        <v>16</v>
      </c>
      <c r="E38" s="2"/>
      <c r="F38" s="2"/>
    </row>
    <row r="39" customFormat="false" ht="15" hidden="false" customHeight="false" outlineLevel="0" collapsed="false">
      <c r="A39" s="3" t="n">
        <v>38</v>
      </c>
      <c r="B39" s="3" t="s">
        <v>94</v>
      </c>
      <c r="C39" s="3" t="s">
        <v>95</v>
      </c>
      <c r="D39" s="3" t="s">
        <v>21</v>
      </c>
      <c r="E39" s="3"/>
      <c r="F39" s="3"/>
    </row>
    <row r="40" customFormat="false" ht="15" hidden="false" customHeight="false" outlineLevel="0" collapsed="false">
      <c r="A40" s="2" t="n">
        <v>39</v>
      </c>
      <c r="B40" s="2" t="s">
        <v>96</v>
      </c>
      <c r="C40" s="2" t="s">
        <v>96</v>
      </c>
      <c r="D40" s="2" t="s">
        <v>16</v>
      </c>
      <c r="E40" s="2"/>
      <c r="F40" s="2"/>
    </row>
    <row r="41" customFormat="false" ht="15" hidden="false" customHeight="false" outlineLevel="0" collapsed="false">
      <c r="A41" s="3" t="n">
        <v>40</v>
      </c>
      <c r="B41" s="3" t="s">
        <v>97</v>
      </c>
      <c r="C41" s="3" t="s">
        <v>98</v>
      </c>
      <c r="D41" s="3" t="s">
        <v>47</v>
      </c>
      <c r="E41" s="3"/>
      <c r="F41" s="3"/>
    </row>
    <row r="42" customFormat="false" ht="15" hidden="false" customHeight="false" outlineLevel="0" collapsed="false">
      <c r="A42" s="2" t="n">
        <v>41</v>
      </c>
      <c r="B42" s="2" t="s">
        <v>99</v>
      </c>
      <c r="C42" s="2" t="s">
        <v>100</v>
      </c>
      <c r="D42" s="2" t="s">
        <v>8</v>
      </c>
      <c r="E42" s="2"/>
      <c r="F42" s="2"/>
    </row>
    <row r="43" customFormat="false" ht="15" hidden="false" customHeight="false" outlineLevel="0" collapsed="false">
      <c r="A43" s="3" t="n">
        <v>42</v>
      </c>
      <c r="B43" s="3" t="s">
        <v>101</v>
      </c>
      <c r="C43" s="3" t="s">
        <v>102</v>
      </c>
      <c r="D43" s="3" t="s">
        <v>85</v>
      </c>
      <c r="E43" s="3"/>
      <c r="F43" s="3"/>
    </row>
    <row r="44" customFormat="false" ht="15" hidden="false" customHeight="false" outlineLevel="0" collapsed="false">
      <c r="A44" s="2" t="n">
        <v>43</v>
      </c>
      <c r="B44" s="2" t="s">
        <v>103</v>
      </c>
      <c r="C44" s="2" t="s">
        <v>104</v>
      </c>
      <c r="D44" s="2" t="s">
        <v>16</v>
      </c>
      <c r="E44" s="2"/>
      <c r="F44" s="2"/>
    </row>
    <row r="45" customFormat="false" ht="15" hidden="false" customHeight="false" outlineLevel="0" collapsed="false">
      <c r="A45" s="3" t="n">
        <v>44</v>
      </c>
      <c r="B45" s="3" t="s">
        <v>105</v>
      </c>
      <c r="C45" s="3" t="s">
        <v>106</v>
      </c>
      <c r="D45" s="3" t="s">
        <v>16</v>
      </c>
      <c r="E45" s="3"/>
      <c r="F45" s="3"/>
    </row>
    <row r="46" customFormat="false" ht="15" hidden="false" customHeight="false" outlineLevel="0" collapsed="false">
      <c r="A46" s="2" t="n">
        <v>45</v>
      </c>
      <c r="B46" s="2" t="s">
        <v>107</v>
      </c>
      <c r="C46" s="2" t="s">
        <v>108</v>
      </c>
      <c r="D46" s="2" t="s">
        <v>47</v>
      </c>
      <c r="E46" s="2"/>
      <c r="F46" s="2"/>
    </row>
    <row r="47" customFormat="false" ht="15" hidden="false" customHeight="false" outlineLevel="0" collapsed="false">
      <c r="A47" s="3" t="n">
        <v>46</v>
      </c>
      <c r="B47" s="3" t="s">
        <v>109</v>
      </c>
      <c r="C47" s="3" t="s">
        <v>110</v>
      </c>
      <c r="D47" s="3" t="s">
        <v>38</v>
      </c>
      <c r="E47" s="3"/>
      <c r="F47" s="3"/>
    </row>
    <row r="48" customFormat="false" ht="15" hidden="false" customHeight="false" outlineLevel="0" collapsed="false">
      <c r="A48" s="2" t="n">
        <v>47</v>
      </c>
      <c r="B48" s="2" t="s">
        <v>111</v>
      </c>
      <c r="C48" s="2" t="s">
        <v>112</v>
      </c>
      <c r="D48" s="2" t="s">
        <v>8</v>
      </c>
      <c r="E48" s="2"/>
      <c r="F48" s="2"/>
    </row>
    <row r="49" customFormat="false" ht="15" hidden="false" customHeight="false" outlineLevel="0" collapsed="false">
      <c r="A49" s="3" t="n">
        <v>48</v>
      </c>
      <c r="B49" s="3" t="s">
        <v>113</v>
      </c>
      <c r="C49" s="3" t="s">
        <v>114</v>
      </c>
      <c r="D49" s="3" t="s">
        <v>16</v>
      </c>
      <c r="E49" s="3"/>
      <c r="F49" s="3"/>
    </row>
    <row r="50" customFormat="false" ht="15" hidden="false" customHeight="false" outlineLevel="0" collapsed="false">
      <c r="A50" s="2" t="n">
        <v>49</v>
      </c>
      <c r="B50" s="2" t="s">
        <v>115</v>
      </c>
      <c r="C50" s="2" t="s">
        <v>116</v>
      </c>
      <c r="D50" s="2" t="s">
        <v>16</v>
      </c>
      <c r="E50" s="2"/>
      <c r="F50" s="2"/>
    </row>
    <row r="51" customFormat="false" ht="15" hidden="false" customHeight="false" outlineLevel="0" collapsed="false">
      <c r="A51" s="3" t="n">
        <v>50</v>
      </c>
      <c r="B51" s="3" t="s">
        <v>117</v>
      </c>
      <c r="C51" s="3" t="s">
        <v>118</v>
      </c>
      <c r="D51" s="3" t="s">
        <v>8</v>
      </c>
      <c r="E51" s="3"/>
      <c r="F51" s="3"/>
    </row>
    <row r="52" customFormat="false" ht="15" hidden="false" customHeight="false" outlineLevel="0" collapsed="false">
      <c r="A52" s="2" t="n">
        <v>51</v>
      </c>
      <c r="B52" s="2" t="s">
        <v>119</v>
      </c>
      <c r="C52" s="2" t="s">
        <v>120</v>
      </c>
      <c r="D52" s="2" t="s">
        <v>121</v>
      </c>
      <c r="E52" s="2"/>
      <c r="F52" s="2"/>
    </row>
    <row r="53" customFormat="false" ht="15" hidden="false" customHeight="false" outlineLevel="0" collapsed="false">
      <c r="A53" s="3" t="n">
        <v>52</v>
      </c>
      <c r="B53" s="3" t="s">
        <v>122</v>
      </c>
      <c r="C53" s="3" t="s">
        <v>123</v>
      </c>
      <c r="D53" s="3" t="s">
        <v>16</v>
      </c>
      <c r="E53" s="3"/>
      <c r="F53" s="3"/>
    </row>
    <row r="54" customFormat="false" ht="15" hidden="false" customHeight="false" outlineLevel="0" collapsed="false">
      <c r="A54" s="2" t="n">
        <v>53</v>
      </c>
      <c r="B54" s="2" t="s">
        <v>124</v>
      </c>
      <c r="C54" s="2" t="s">
        <v>125</v>
      </c>
      <c r="D54" s="2" t="s">
        <v>47</v>
      </c>
      <c r="E54" s="2"/>
      <c r="F54" s="2"/>
    </row>
    <row r="55" customFormat="false" ht="15" hidden="false" customHeight="false" outlineLevel="0" collapsed="false">
      <c r="A55" s="3" t="n">
        <v>54</v>
      </c>
      <c r="B55" s="3" t="s">
        <v>126</v>
      </c>
      <c r="C55" s="3" t="s">
        <v>126</v>
      </c>
      <c r="D55" s="3" t="s">
        <v>8</v>
      </c>
      <c r="E55" s="3"/>
      <c r="F55" s="3"/>
    </row>
    <row r="56" customFormat="false" ht="15" hidden="false" customHeight="false" outlineLevel="0" collapsed="false">
      <c r="A56" s="2" t="n">
        <v>55</v>
      </c>
      <c r="B56" s="2" t="s">
        <v>127</v>
      </c>
      <c r="C56" s="2" t="s">
        <v>128</v>
      </c>
      <c r="D56" s="2" t="s">
        <v>129</v>
      </c>
      <c r="E56" s="2"/>
      <c r="F56" s="2"/>
    </row>
    <row r="57" customFormat="false" ht="15" hidden="false" customHeight="false" outlineLevel="0" collapsed="false">
      <c r="A57" s="3" t="n">
        <v>56</v>
      </c>
      <c r="B57" s="3" t="s">
        <v>130</v>
      </c>
      <c r="C57" s="3" t="s">
        <v>131</v>
      </c>
      <c r="D57" s="3" t="s">
        <v>16</v>
      </c>
      <c r="E57" s="3"/>
      <c r="F57" s="3"/>
    </row>
    <row r="58" customFormat="false" ht="15" hidden="false" customHeight="false" outlineLevel="0" collapsed="false">
      <c r="A58" s="2" t="n">
        <v>57</v>
      </c>
      <c r="B58" s="2" t="s">
        <v>132</v>
      </c>
      <c r="C58" s="2" t="s">
        <v>133</v>
      </c>
      <c r="D58" s="2" t="s">
        <v>30</v>
      </c>
      <c r="E58" s="2"/>
      <c r="F58" s="2"/>
    </row>
    <row r="59" customFormat="false" ht="15" hidden="false" customHeight="false" outlineLevel="0" collapsed="false">
      <c r="A59" s="3" t="n">
        <v>58</v>
      </c>
      <c r="B59" s="3" t="s">
        <v>134</v>
      </c>
      <c r="C59" s="3" t="s">
        <v>135</v>
      </c>
      <c r="D59" s="3" t="s">
        <v>136</v>
      </c>
      <c r="E59" s="3"/>
      <c r="F59" s="3"/>
    </row>
    <row r="60" customFormat="false" ht="15" hidden="false" customHeight="false" outlineLevel="0" collapsed="false">
      <c r="A60" s="2" t="n">
        <v>59</v>
      </c>
      <c r="B60" s="2" t="s">
        <v>137</v>
      </c>
      <c r="C60" s="2" t="s">
        <v>138</v>
      </c>
      <c r="D60" s="2" t="s">
        <v>21</v>
      </c>
      <c r="E60" s="2"/>
      <c r="F60" s="2"/>
    </row>
    <row r="61" customFormat="false" ht="15" hidden="false" customHeight="false" outlineLevel="0" collapsed="false">
      <c r="A61" s="3" t="n">
        <v>60</v>
      </c>
      <c r="B61" s="3" t="s">
        <v>139</v>
      </c>
      <c r="C61" s="3" t="s">
        <v>140</v>
      </c>
      <c r="D61" s="3" t="s">
        <v>121</v>
      </c>
      <c r="E61" s="3"/>
      <c r="F61" s="3"/>
    </row>
    <row r="62" customFormat="false" ht="15" hidden="false" customHeight="false" outlineLevel="0" collapsed="false">
      <c r="A62" s="2" t="n">
        <v>61</v>
      </c>
      <c r="B62" s="2" t="s">
        <v>141</v>
      </c>
      <c r="C62" s="2" t="s">
        <v>142</v>
      </c>
      <c r="D62" s="2" t="s">
        <v>16</v>
      </c>
      <c r="E62" s="2"/>
      <c r="F62" s="2"/>
    </row>
    <row r="63" customFormat="false" ht="15" hidden="false" customHeight="false" outlineLevel="0" collapsed="false">
      <c r="A63" s="3" t="n">
        <v>62</v>
      </c>
      <c r="B63" s="3" t="s">
        <v>143</v>
      </c>
      <c r="C63" s="3" t="s">
        <v>144</v>
      </c>
      <c r="D63" s="3" t="s">
        <v>8</v>
      </c>
      <c r="E63" s="3"/>
      <c r="F63" s="3"/>
    </row>
    <row r="64" customFormat="false" ht="15" hidden="false" customHeight="false" outlineLevel="0" collapsed="false">
      <c r="A64" s="2" t="n">
        <v>63</v>
      </c>
      <c r="B64" s="2" t="s">
        <v>145</v>
      </c>
      <c r="C64" s="2" t="s">
        <v>146</v>
      </c>
      <c r="D64" s="2" t="s">
        <v>27</v>
      </c>
      <c r="E64" s="2"/>
      <c r="F64" s="2"/>
    </row>
    <row r="65" customFormat="false" ht="15" hidden="false" customHeight="false" outlineLevel="0" collapsed="false">
      <c r="A65" s="3" t="n">
        <v>64</v>
      </c>
      <c r="B65" s="3" t="s">
        <v>147</v>
      </c>
      <c r="C65" s="3" t="s">
        <v>148</v>
      </c>
      <c r="D65" s="3" t="s">
        <v>66</v>
      </c>
      <c r="E65" s="3"/>
      <c r="F65" s="3"/>
    </row>
    <row r="66" customFormat="false" ht="15" hidden="false" customHeight="false" outlineLevel="0" collapsed="false">
      <c r="A66" s="2" t="n">
        <v>65</v>
      </c>
      <c r="B66" s="2" t="s">
        <v>149</v>
      </c>
      <c r="C66" s="2" t="s">
        <v>150</v>
      </c>
      <c r="D66" s="2" t="s">
        <v>21</v>
      </c>
      <c r="E66" s="2"/>
      <c r="F66" s="2"/>
    </row>
    <row r="67" customFormat="false" ht="15" hidden="false" customHeight="false" outlineLevel="0" collapsed="false">
      <c r="A67" s="3" t="n">
        <v>66</v>
      </c>
      <c r="B67" s="3" t="s">
        <v>151</v>
      </c>
      <c r="C67" s="3" t="s">
        <v>152</v>
      </c>
      <c r="D67" s="3" t="s">
        <v>16</v>
      </c>
      <c r="E67" s="3"/>
      <c r="F67" s="3"/>
    </row>
    <row r="68" customFormat="false" ht="15" hidden="false" customHeight="false" outlineLevel="0" collapsed="false">
      <c r="A68" s="2" t="n">
        <v>67</v>
      </c>
      <c r="B68" s="2" t="s">
        <v>153</v>
      </c>
      <c r="C68" s="2" t="s">
        <v>154</v>
      </c>
      <c r="D68" s="2" t="s">
        <v>16</v>
      </c>
      <c r="E68" s="2"/>
      <c r="F68" s="2"/>
    </row>
    <row r="69" customFormat="false" ht="15" hidden="false" customHeight="false" outlineLevel="0" collapsed="false">
      <c r="A69" s="3" t="n">
        <v>68</v>
      </c>
      <c r="B69" s="3" t="s">
        <v>155</v>
      </c>
      <c r="C69" s="3" t="s">
        <v>156</v>
      </c>
      <c r="D69" s="3" t="s">
        <v>8</v>
      </c>
      <c r="E69" s="3"/>
      <c r="F69" s="3"/>
    </row>
    <row r="70" customFormat="false" ht="15" hidden="false" customHeight="false" outlineLevel="0" collapsed="false">
      <c r="A70" s="2" t="n">
        <v>69</v>
      </c>
      <c r="B70" s="2" t="s">
        <v>157</v>
      </c>
      <c r="C70" s="2" t="s">
        <v>158</v>
      </c>
      <c r="D70" s="2" t="s">
        <v>85</v>
      </c>
      <c r="E70" s="2"/>
      <c r="F70" s="2"/>
    </row>
    <row r="71" customFormat="false" ht="15" hidden="false" customHeight="false" outlineLevel="0" collapsed="false">
      <c r="A71" s="3" t="n">
        <v>70</v>
      </c>
      <c r="B71" s="3" t="s">
        <v>159</v>
      </c>
      <c r="C71" s="3" t="s">
        <v>160</v>
      </c>
      <c r="D71" s="3" t="s">
        <v>16</v>
      </c>
      <c r="E71" s="3"/>
      <c r="F71" s="3"/>
    </row>
    <row r="72" customFormat="false" ht="15" hidden="false" customHeight="false" outlineLevel="0" collapsed="false">
      <c r="A72" s="2" t="n">
        <v>71</v>
      </c>
      <c r="B72" s="2" t="s">
        <v>161</v>
      </c>
      <c r="C72" s="2" t="s">
        <v>162</v>
      </c>
      <c r="D72" s="2" t="s">
        <v>16</v>
      </c>
      <c r="E72" s="2"/>
      <c r="F72" s="2"/>
    </row>
    <row r="73" customFormat="false" ht="15" hidden="false" customHeight="false" outlineLevel="0" collapsed="false">
      <c r="A73" s="3" t="n">
        <v>72</v>
      </c>
      <c r="B73" s="3" t="s">
        <v>163</v>
      </c>
      <c r="C73" s="3" t="s">
        <v>164</v>
      </c>
      <c r="D73" s="3" t="s">
        <v>24</v>
      </c>
      <c r="E73" s="3"/>
      <c r="F73" s="3"/>
    </row>
    <row r="74" customFormat="false" ht="15" hidden="false" customHeight="false" outlineLevel="0" collapsed="false">
      <c r="A74" s="2" t="n">
        <v>73</v>
      </c>
      <c r="B74" s="2" t="s">
        <v>165</v>
      </c>
      <c r="C74" s="2" t="s">
        <v>166</v>
      </c>
      <c r="D74" s="2" t="s">
        <v>8</v>
      </c>
      <c r="E74" s="2"/>
      <c r="F74" s="2"/>
    </row>
    <row r="75" customFormat="false" ht="15" hidden="false" customHeight="false" outlineLevel="0" collapsed="false">
      <c r="A75" s="3" t="n">
        <v>74</v>
      </c>
      <c r="B75" s="3" t="s">
        <v>167</v>
      </c>
      <c r="C75" s="3" t="s">
        <v>168</v>
      </c>
      <c r="D75" s="3" t="s">
        <v>16</v>
      </c>
      <c r="E75" s="3"/>
      <c r="F75" s="3"/>
    </row>
    <row r="76" customFormat="false" ht="15" hidden="false" customHeight="false" outlineLevel="0" collapsed="false">
      <c r="A76" s="2" t="n">
        <v>75</v>
      </c>
      <c r="B76" s="2" t="s">
        <v>169</v>
      </c>
      <c r="C76" s="2" t="s">
        <v>169</v>
      </c>
      <c r="D76" s="2" t="s">
        <v>136</v>
      </c>
      <c r="E76" s="2"/>
      <c r="F76" s="2"/>
    </row>
    <row r="77" customFormat="false" ht="15" hidden="false" customHeight="false" outlineLevel="0" collapsed="false">
      <c r="A77" s="3" t="n">
        <v>76</v>
      </c>
      <c r="B77" s="3" t="s">
        <v>170</v>
      </c>
      <c r="C77" s="3" t="s">
        <v>171</v>
      </c>
      <c r="D77" s="3" t="s">
        <v>11</v>
      </c>
      <c r="E77" s="3"/>
      <c r="F77" s="3"/>
    </row>
    <row r="78" customFormat="false" ht="15" hidden="false" customHeight="false" outlineLevel="0" collapsed="false">
      <c r="A78" s="2" t="n">
        <v>77</v>
      </c>
      <c r="B78" s="2" t="s">
        <v>172</v>
      </c>
      <c r="C78" s="2" t="s">
        <v>173</v>
      </c>
      <c r="D78" s="2" t="s">
        <v>174</v>
      </c>
      <c r="E78" s="2"/>
      <c r="F78" s="2"/>
    </row>
    <row r="79" customFormat="false" ht="15" hidden="false" customHeight="false" outlineLevel="0" collapsed="false">
      <c r="A79" s="3" t="n">
        <v>78</v>
      </c>
      <c r="B79" s="3" t="s">
        <v>175</v>
      </c>
      <c r="C79" s="3" t="s">
        <v>176</v>
      </c>
      <c r="D79" s="3" t="s">
        <v>30</v>
      </c>
      <c r="E79" s="3"/>
      <c r="F79" s="3"/>
    </row>
    <row r="80" customFormat="false" ht="15" hidden="false" customHeight="false" outlineLevel="0" collapsed="false">
      <c r="A80" s="2" t="n">
        <v>79</v>
      </c>
      <c r="B80" s="2" t="s">
        <v>177</v>
      </c>
      <c r="C80" s="2" t="s">
        <v>178</v>
      </c>
      <c r="D80" s="2" t="s">
        <v>16</v>
      </c>
      <c r="E80" s="2"/>
      <c r="F80" s="2"/>
    </row>
    <row r="81" customFormat="false" ht="15" hidden="false" customHeight="false" outlineLevel="0" collapsed="false">
      <c r="A81" s="3" t="n">
        <v>80</v>
      </c>
      <c r="B81" s="3" t="s">
        <v>179</v>
      </c>
      <c r="C81" s="3" t="s">
        <v>180</v>
      </c>
      <c r="D81" s="3" t="s">
        <v>16</v>
      </c>
      <c r="E81" s="3"/>
      <c r="F81" s="3"/>
    </row>
    <row r="82" customFormat="false" ht="15" hidden="false" customHeight="false" outlineLevel="0" collapsed="false">
      <c r="A82" s="2" t="n">
        <v>81</v>
      </c>
      <c r="B82" s="2" t="s">
        <v>181</v>
      </c>
      <c r="C82" s="2" t="s">
        <v>182</v>
      </c>
      <c r="D82" s="2" t="s">
        <v>66</v>
      </c>
      <c r="E82" s="2"/>
      <c r="F82" s="2"/>
    </row>
    <row r="83" customFormat="false" ht="15" hidden="false" customHeight="false" outlineLevel="0" collapsed="false">
      <c r="A83" s="3" t="n">
        <v>82</v>
      </c>
      <c r="B83" s="3" t="s">
        <v>183</v>
      </c>
      <c r="C83" s="3" t="s">
        <v>184</v>
      </c>
      <c r="D83" s="3" t="s">
        <v>50</v>
      </c>
      <c r="E83" s="3"/>
      <c r="F83" s="3"/>
    </row>
    <row r="84" customFormat="false" ht="15" hidden="false" customHeight="false" outlineLevel="0" collapsed="false">
      <c r="A84" s="2" t="n">
        <v>83</v>
      </c>
      <c r="B84" s="2" t="s">
        <v>185</v>
      </c>
      <c r="C84" s="2" t="s">
        <v>186</v>
      </c>
      <c r="D84" s="2" t="s">
        <v>27</v>
      </c>
      <c r="E84" s="2"/>
      <c r="F84" s="2"/>
    </row>
    <row r="85" customFormat="false" ht="15" hidden="false" customHeight="false" outlineLevel="0" collapsed="false">
      <c r="A85" s="3" t="n">
        <v>84</v>
      </c>
      <c r="B85" s="3" t="s">
        <v>187</v>
      </c>
      <c r="C85" s="3" t="s">
        <v>188</v>
      </c>
      <c r="D85" s="3" t="s">
        <v>8</v>
      </c>
      <c r="E85" s="3"/>
      <c r="F85" s="3"/>
    </row>
    <row r="86" customFormat="false" ht="15" hidden="false" customHeight="false" outlineLevel="0" collapsed="false">
      <c r="A86" s="2" t="n">
        <v>85</v>
      </c>
      <c r="B86" s="2" t="s">
        <v>189</v>
      </c>
      <c r="C86" s="2" t="s">
        <v>190</v>
      </c>
      <c r="D86" s="2" t="s">
        <v>18</v>
      </c>
      <c r="E86" s="2"/>
      <c r="F86" s="2"/>
    </row>
    <row r="87" customFormat="false" ht="15" hidden="false" customHeight="false" outlineLevel="0" collapsed="false">
      <c r="A87" s="3" t="n">
        <v>86</v>
      </c>
      <c r="B87" s="3" t="s">
        <v>191</v>
      </c>
      <c r="C87" s="3" t="s">
        <v>192</v>
      </c>
      <c r="D87" s="3" t="s">
        <v>24</v>
      </c>
      <c r="E87" s="3"/>
      <c r="F87" s="3"/>
    </row>
    <row r="88" customFormat="false" ht="15" hidden="false" customHeight="false" outlineLevel="0" collapsed="false">
      <c r="A88" s="2" t="n">
        <v>87</v>
      </c>
      <c r="B88" s="2" t="s">
        <v>193</v>
      </c>
      <c r="C88" s="2" t="s">
        <v>194</v>
      </c>
      <c r="D88" s="2" t="s">
        <v>55</v>
      </c>
      <c r="E88" s="2"/>
      <c r="F88" s="2"/>
    </row>
    <row r="89" customFormat="false" ht="15" hidden="false" customHeight="false" outlineLevel="0" collapsed="false">
      <c r="A89" s="3" t="n">
        <v>88</v>
      </c>
      <c r="B89" s="3" t="s">
        <v>195</v>
      </c>
      <c r="C89" s="3" t="s">
        <v>196</v>
      </c>
      <c r="D89" s="3" t="s">
        <v>66</v>
      </c>
      <c r="E89" s="3"/>
      <c r="F89" s="3"/>
    </row>
    <row r="90" customFormat="false" ht="15" hidden="false" customHeight="false" outlineLevel="0" collapsed="false">
      <c r="A90" s="2" t="n">
        <v>89</v>
      </c>
      <c r="B90" s="2" t="s">
        <v>197</v>
      </c>
      <c r="C90" s="2" t="s">
        <v>198</v>
      </c>
      <c r="D90" s="2" t="s">
        <v>24</v>
      </c>
      <c r="E90" s="2"/>
      <c r="F90" s="2"/>
    </row>
    <row r="91" customFormat="false" ht="15" hidden="false" customHeight="false" outlineLevel="0" collapsed="false">
      <c r="A91" s="3" t="n">
        <v>90</v>
      </c>
      <c r="B91" s="3" t="s">
        <v>199</v>
      </c>
      <c r="C91" s="3" t="s">
        <v>200</v>
      </c>
      <c r="D91" s="3" t="s">
        <v>8</v>
      </c>
      <c r="E91" s="3"/>
      <c r="F91" s="3"/>
    </row>
    <row r="92" customFormat="false" ht="15" hidden="false" customHeight="false" outlineLevel="0" collapsed="false">
      <c r="A92" s="2" t="n">
        <v>91</v>
      </c>
      <c r="B92" s="2" t="s">
        <v>201</v>
      </c>
      <c r="C92" s="2" t="s">
        <v>202</v>
      </c>
      <c r="D92" s="2" t="s">
        <v>66</v>
      </c>
      <c r="E92" s="2"/>
      <c r="F92" s="2"/>
    </row>
    <row r="93" customFormat="false" ht="15" hidden="false" customHeight="false" outlineLevel="0" collapsed="false">
      <c r="A93" s="3" t="n">
        <v>92</v>
      </c>
      <c r="B93" s="3" t="s">
        <v>203</v>
      </c>
      <c r="C93" s="3" t="s">
        <v>204</v>
      </c>
      <c r="D93" s="3" t="s">
        <v>27</v>
      </c>
      <c r="E93" s="3"/>
      <c r="F93" s="3"/>
    </row>
    <row r="94" customFormat="false" ht="15" hidden="false" customHeight="false" outlineLevel="0" collapsed="false">
      <c r="A94" s="2" t="n">
        <v>93</v>
      </c>
      <c r="B94" s="2" t="s">
        <v>205</v>
      </c>
      <c r="C94" s="2" t="s">
        <v>206</v>
      </c>
      <c r="D94" s="2" t="s">
        <v>66</v>
      </c>
      <c r="E94" s="2"/>
      <c r="F94" s="2"/>
    </row>
    <row r="95" customFormat="false" ht="15" hidden="false" customHeight="false" outlineLevel="0" collapsed="false">
      <c r="A95" s="3" t="n">
        <v>94</v>
      </c>
      <c r="B95" s="3" t="s">
        <v>207</v>
      </c>
      <c r="C95" s="3" t="s">
        <v>208</v>
      </c>
      <c r="D95" s="3" t="s">
        <v>50</v>
      </c>
      <c r="E95" s="3"/>
      <c r="F95" s="3"/>
    </row>
    <row r="96" customFormat="false" ht="15" hidden="false" customHeight="false" outlineLevel="0" collapsed="false">
      <c r="A96" s="2" t="n">
        <v>95</v>
      </c>
      <c r="B96" s="2" t="s">
        <v>209</v>
      </c>
      <c r="C96" s="2" t="s">
        <v>210</v>
      </c>
      <c r="D96" s="2" t="s">
        <v>16</v>
      </c>
      <c r="E96" s="2"/>
      <c r="F96" s="2"/>
    </row>
    <row r="97" customFormat="false" ht="15" hidden="false" customHeight="false" outlineLevel="0" collapsed="false">
      <c r="A97" s="3" t="n">
        <v>96</v>
      </c>
      <c r="B97" s="3" t="s">
        <v>211</v>
      </c>
      <c r="C97" s="3" t="s">
        <v>212</v>
      </c>
      <c r="D97" s="3" t="s">
        <v>30</v>
      </c>
      <c r="E97" s="3"/>
      <c r="F97" s="3"/>
    </row>
    <row r="98" customFormat="false" ht="15" hidden="false" customHeight="false" outlineLevel="0" collapsed="false">
      <c r="A98" s="2" t="n">
        <v>97</v>
      </c>
      <c r="B98" s="2" t="s">
        <v>213</v>
      </c>
      <c r="C98" s="2" t="s">
        <v>214</v>
      </c>
      <c r="D98" s="2" t="s">
        <v>16</v>
      </c>
      <c r="E98" s="2"/>
      <c r="F98" s="2"/>
    </row>
    <row r="99" customFormat="false" ht="15" hidden="false" customHeight="false" outlineLevel="0" collapsed="false">
      <c r="A99" s="3" t="n">
        <v>98</v>
      </c>
      <c r="B99" s="3" t="s">
        <v>215</v>
      </c>
      <c r="C99" s="3" t="s">
        <v>216</v>
      </c>
      <c r="D99" s="3" t="s">
        <v>85</v>
      </c>
      <c r="E99" s="3"/>
      <c r="F99" s="3"/>
    </row>
    <row r="100" customFormat="false" ht="15" hidden="false" customHeight="false" outlineLevel="0" collapsed="false">
      <c r="A100" s="2" t="n">
        <v>99</v>
      </c>
      <c r="B100" s="2" t="s">
        <v>217</v>
      </c>
      <c r="C100" s="2" t="s">
        <v>98</v>
      </c>
      <c r="D100" s="2" t="s">
        <v>174</v>
      </c>
      <c r="E100" s="2"/>
      <c r="F100" s="2"/>
    </row>
    <row r="101" customFormat="false" ht="15" hidden="false" customHeight="false" outlineLevel="0" collapsed="false">
      <c r="A101" s="3" t="n">
        <v>100</v>
      </c>
      <c r="B101" s="3" t="s">
        <v>218</v>
      </c>
      <c r="C101" s="3" t="s">
        <v>219</v>
      </c>
      <c r="D101" s="3" t="s">
        <v>66</v>
      </c>
      <c r="E101" s="3"/>
      <c r="F101" s="3"/>
    </row>
    <row r="102" customFormat="false" ht="15" hidden="false" customHeight="false" outlineLevel="0" collapsed="false">
      <c r="A102" s="2" t="n">
        <v>101</v>
      </c>
      <c r="B102" s="2" t="s">
        <v>220</v>
      </c>
      <c r="C102" s="2" t="s">
        <v>221</v>
      </c>
      <c r="D102" s="2" t="s">
        <v>8</v>
      </c>
      <c r="E102" s="2"/>
      <c r="F102" s="2"/>
    </row>
    <row r="103" customFormat="false" ht="15" hidden="false" customHeight="false" outlineLevel="0" collapsed="false">
      <c r="A103" s="3" t="n">
        <v>102</v>
      </c>
      <c r="B103" s="3" t="s">
        <v>222</v>
      </c>
      <c r="C103" s="3" t="s">
        <v>223</v>
      </c>
      <c r="D103" s="3" t="s">
        <v>85</v>
      </c>
      <c r="E103" s="3"/>
      <c r="F103" s="3"/>
    </row>
    <row r="104" customFormat="false" ht="15" hidden="false" customHeight="false" outlineLevel="0" collapsed="false">
      <c r="A104" s="2" t="n">
        <v>103</v>
      </c>
      <c r="B104" s="2" t="s">
        <v>224</v>
      </c>
      <c r="C104" s="2" t="s">
        <v>225</v>
      </c>
      <c r="D104" s="2" t="s">
        <v>27</v>
      </c>
      <c r="E104" s="2"/>
      <c r="F104" s="2"/>
    </row>
    <row r="105" customFormat="false" ht="15" hidden="false" customHeight="false" outlineLevel="0" collapsed="false">
      <c r="A105" s="3" t="n">
        <v>104</v>
      </c>
      <c r="B105" s="3" t="s">
        <v>226</v>
      </c>
      <c r="C105" s="3" t="s">
        <v>227</v>
      </c>
      <c r="D105" s="3" t="s">
        <v>129</v>
      </c>
      <c r="E105" s="3"/>
      <c r="F105" s="3"/>
    </row>
    <row r="106" customFormat="false" ht="15" hidden="false" customHeight="false" outlineLevel="0" collapsed="false">
      <c r="A106" s="2" t="n">
        <v>105</v>
      </c>
      <c r="B106" s="2" t="s">
        <v>228</v>
      </c>
      <c r="C106" s="2" t="s">
        <v>229</v>
      </c>
      <c r="D106" s="2" t="s">
        <v>16</v>
      </c>
      <c r="E106" s="2"/>
      <c r="F106" s="2"/>
    </row>
    <row r="107" customFormat="false" ht="15" hidden="false" customHeight="false" outlineLevel="0" collapsed="false">
      <c r="A107" s="3" t="n">
        <v>106</v>
      </c>
      <c r="B107" s="3" t="s">
        <v>230</v>
      </c>
      <c r="C107" s="3" t="s">
        <v>231</v>
      </c>
      <c r="D107" s="3" t="s">
        <v>85</v>
      </c>
      <c r="E107" s="3"/>
      <c r="F107" s="3"/>
    </row>
    <row r="108" customFormat="false" ht="15" hidden="false" customHeight="false" outlineLevel="0" collapsed="false">
      <c r="A108" s="2" t="n">
        <v>107</v>
      </c>
      <c r="B108" s="2" t="s">
        <v>232</v>
      </c>
      <c r="C108" s="2" t="s">
        <v>233</v>
      </c>
      <c r="D108" s="2" t="s">
        <v>136</v>
      </c>
      <c r="E108" s="2"/>
      <c r="F108" s="2"/>
    </row>
    <row r="109" customFormat="false" ht="15" hidden="false" customHeight="false" outlineLevel="0" collapsed="false">
      <c r="A109" s="3" t="n">
        <v>108</v>
      </c>
      <c r="B109" s="3" t="s">
        <v>234</v>
      </c>
      <c r="C109" s="3" t="s">
        <v>235</v>
      </c>
      <c r="D109" s="3" t="s">
        <v>8</v>
      </c>
      <c r="E109" s="3"/>
      <c r="F109" s="3"/>
    </row>
    <row r="110" customFormat="false" ht="15" hidden="false" customHeight="false" outlineLevel="0" collapsed="false">
      <c r="A110" s="2" t="n">
        <v>109</v>
      </c>
      <c r="B110" s="2" t="s">
        <v>236</v>
      </c>
      <c r="C110" s="2" t="s">
        <v>237</v>
      </c>
      <c r="D110" s="2" t="s">
        <v>16</v>
      </c>
      <c r="E110" s="2"/>
      <c r="F110" s="2"/>
    </row>
    <row r="111" customFormat="false" ht="15" hidden="false" customHeight="false" outlineLevel="0" collapsed="false">
      <c r="A111" s="3" t="n">
        <v>110</v>
      </c>
      <c r="B111" s="3" t="s">
        <v>238</v>
      </c>
      <c r="C111" s="3" t="s">
        <v>239</v>
      </c>
      <c r="D111" s="3" t="s">
        <v>30</v>
      </c>
      <c r="E111" s="3"/>
      <c r="F111" s="3"/>
    </row>
    <row r="112" customFormat="false" ht="15" hidden="false" customHeight="false" outlineLevel="0" collapsed="false">
      <c r="A112" s="2" t="n">
        <v>111</v>
      </c>
      <c r="B112" s="2" t="s">
        <v>240</v>
      </c>
      <c r="C112" s="2" t="s">
        <v>241</v>
      </c>
      <c r="D112" s="2" t="s">
        <v>121</v>
      </c>
      <c r="E112" s="2"/>
      <c r="F112" s="2"/>
    </row>
    <row r="113" customFormat="false" ht="15" hidden="false" customHeight="false" outlineLevel="0" collapsed="false">
      <c r="A113" s="3" t="n">
        <v>112</v>
      </c>
      <c r="B113" s="3" t="s">
        <v>242</v>
      </c>
      <c r="C113" s="3" t="s">
        <v>243</v>
      </c>
      <c r="D113" s="3" t="s">
        <v>174</v>
      </c>
      <c r="E113" s="3"/>
      <c r="F113" s="3"/>
    </row>
    <row r="114" customFormat="false" ht="15" hidden="false" customHeight="false" outlineLevel="0" collapsed="false">
      <c r="A114" s="2" t="n">
        <v>113</v>
      </c>
      <c r="B114" s="2" t="s">
        <v>244</v>
      </c>
      <c r="C114" s="2" t="s">
        <v>245</v>
      </c>
      <c r="D114" s="2" t="s">
        <v>30</v>
      </c>
      <c r="E114" s="2"/>
      <c r="F114" s="2"/>
    </row>
    <row r="115" customFormat="false" ht="15" hidden="false" customHeight="false" outlineLevel="0" collapsed="false">
      <c r="A115" s="3" t="n">
        <v>114</v>
      </c>
      <c r="B115" s="3" t="s">
        <v>246</v>
      </c>
      <c r="C115" s="3" t="s">
        <v>247</v>
      </c>
      <c r="D115" s="3" t="s">
        <v>174</v>
      </c>
      <c r="E115" s="3"/>
      <c r="F115" s="3"/>
    </row>
    <row r="116" customFormat="false" ht="15" hidden="false" customHeight="false" outlineLevel="0" collapsed="false">
      <c r="A116" s="2" t="n">
        <v>115</v>
      </c>
      <c r="B116" s="2" t="s">
        <v>248</v>
      </c>
      <c r="C116" s="2" t="s">
        <v>249</v>
      </c>
      <c r="D116" s="2" t="s">
        <v>8</v>
      </c>
      <c r="E116" s="2"/>
      <c r="F116" s="2"/>
    </row>
    <row r="117" customFormat="false" ht="15" hidden="false" customHeight="false" outlineLevel="0" collapsed="false">
      <c r="A117" s="3" t="n">
        <v>116</v>
      </c>
      <c r="B117" s="3" t="s">
        <v>250</v>
      </c>
      <c r="C117" s="3" t="s">
        <v>251</v>
      </c>
      <c r="D117" s="3" t="s">
        <v>8</v>
      </c>
      <c r="E117" s="3"/>
      <c r="F117" s="3"/>
    </row>
    <row r="118" customFormat="false" ht="15" hidden="false" customHeight="false" outlineLevel="0" collapsed="false">
      <c r="A118" s="2" t="n">
        <v>117</v>
      </c>
      <c r="B118" s="2" t="s">
        <v>252</v>
      </c>
      <c r="C118" s="2" t="s">
        <v>253</v>
      </c>
      <c r="D118" s="2" t="s">
        <v>47</v>
      </c>
      <c r="E118" s="2"/>
      <c r="F118" s="2"/>
    </row>
    <row r="119" customFormat="false" ht="15" hidden="false" customHeight="false" outlineLevel="0" collapsed="false">
      <c r="A119" s="3" t="n">
        <v>118</v>
      </c>
      <c r="B119" s="3" t="s">
        <v>254</v>
      </c>
      <c r="C119" s="3" t="s">
        <v>255</v>
      </c>
      <c r="D119" s="3" t="s">
        <v>16</v>
      </c>
      <c r="E119" s="3"/>
      <c r="F119" s="3"/>
    </row>
    <row r="120" customFormat="false" ht="15" hidden="false" customHeight="false" outlineLevel="0" collapsed="false">
      <c r="A120" s="2" t="n">
        <v>119</v>
      </c>
      <c r="B120" s="2" t="s">
        <v>256</v>
      </c>
      <c r="C120" s="2" t="s">
        <v>257</v>
      </c>
      <c r="D120" s="2" t="s">
        <v>21</v>
      </c>
      <c r="E120" s="2"/>
      <c r="F120" s="2"/>
    </row>
    <row r="121" customFormat="false" ht="15" hidden="false" customHeight="false" outlineLevel="0" collapsed="false">
      <c r="A121" s="3" t="n">
        <v>120</v>
      </c>
      <c r="B121" s="3" t="s">
        <v>258</v>
      </c>
      <c r="C121" s="3" t="s">
        <v>259</v>
      </c>
      <c r="D121" s="3" t="s">
        <v>50</v>
      </c>
      <c r="E121" s="3"/>
      <c r="F121" s="3"/>
    </row>
    <row r="122" customFormat="false" ht="15" hidden="false" customHeight="false" outlineLevel="0" collapsed="false">
      <c r="A122" s="2" t="n">
        <v>121</v>
      </c>
      <c r="B122" s="2" t="s">
        <v>260</v>
      </c>
      <c r="C122" s="2" t="s">
        <v>261</v>
      </c>
      <c r="D122" s="2" t="s">
        <v>16</v>
      </c>
      <c r="E122" s="2"/>
      <c r="F122" s="2"/>
    </row>
    <row r="123" customFormat="false" ht="15" hidden="false" customHeight="false" outlineLevel="0" collapsed="false">
      <c r="A123" s="3" t="n">
        <v>122</v>
      </c>
      <c r="B123" s="3" t="s">
        <v>262</v>
      </c>
      <c r="C123" s="3" t="s">
        <v>263</v>
      </c>
      <c r="D123" s="3" t="s">
        <v>8</v>
      </c>
      <c r="E123" s="3"/>
      <c r="F123" s="3"/>
    </row>
    <row r="124" customFormat="false" ht="15" hidden="false" customHeight="false" outlineLevel="0" collapsed="false">
      <c r="A124" s="2" t="n">
        <v>123</v>
      </c>
      <c r="B124" s="2" t="s">
        <v>264</v>
      </c>
      <c r="C124" s="2" t="s">
        <v>265</v>
      </c>
      <c r="D124" s="2" t="s">
        <v>8</v>
      </c>
      <c r="E124" s="2"/>
      <c r="F124" s="2"/>
    </row>
    <row r="125" customFormat="false" ht="15" hidden="false" customHeight="false" outlineLevel="0" collapsed="false">
      <c r="A125" s="3" t="n">
        <v>124</v>
      </c>
      <c r="B125" s="3" t="s">
        <v>266</v>
      </c>
      <c r="C125" s="3" t="s">
        <v>267</v>
      </c>
      <c r="D125" s="3" t="s">
        <v>50</v>
      </c>
      <c r="E125" s="3"/>
      <c r="F125" s="3"/>
    </row>
    <row r="126" customFormat="false" ht="15" hidden="false" customHeight="false" outlineLevel="0" collapsed="false">
      <c r="A126" s="2" t="n">
        <v>125</v>
      </c>
      <c r="B126" s="2" t="s">
        <v>268</v>
      </c>
      <c r="C126" s="2" t="s">
        <v>269</v>
      </c>
      <c r="D126" s="2" t="s">
        <v>16</v>
      </c>
      <c r="E126" s="2"/>
      <c r="F126" s="2"/>
    </row>
    <row r="127" customFormat="false" ht="15" hidden="false" customHeight="false" outlineLevel="0" collapsed="false">
      <c r="A127" s="3" t="n">
        <v>126</v>
      </c>
      <c r="B127" s="3" t="s">
        <v>270</v>
      </c>
      <c r="C127" s="3" t="s">
        <v>271</v>
      </c>
      <c r="D127" s="3" t="s">
        <v>174</v>
      </c>
      <c r="E127" s="3"/>
      <c r="F127" s="3"/>
    </row>
    <row r="128" customFormat="false" ht="15" hidden="false" customHeight="false" outlineLevel="0" collapsed="false">
      <c r="A128" s="2" t="n">
        <v>127</v>
      </c>
      <c r="B128" s="2" t="s">
        <v>272</v>
      </c>
      <c r="C128" s="2" t="s">
        <v>273</v>
      </c>
      <c r="D128" s="2" t="s">
        <v>16</v>
      </c>
      <c r="E128" s="2"/>
      <c r="F128" s="2"/>
    </row>
    <row r="129" customFormat="false" ht="15" hidden="false" customHeight="false" outlineLevel="0" collapsed="false">
      <c r="A129" s="3" t="n">
        <v>128</v>
      </c>
      <c r="B129" s="3" t="s">
        <v>274</v>
      </c>
      <c r="C129" s="3" t="s">
        <v>275</v>
      </c>
      <c r="D129" s="3" t="s">
        <v>21</v>
      </c>
      <c r="E129" s="3"/>
      <c r="F129" s="3"/>
    </row>
    <row r="130" customFormat="false" ht="15" hidden="false" customHeight="false" outlineLevel="0" collapsed="false">
      <c r="A130" s="2" t="n">
        <v>129</v>
      </c>
      <c r="B130" s="2" t="s">
        <v>276</v>
      </c>
      <c r="C130" s="2" t="s">
        <v>277</v>
      </c>
      <c r="D130" s="2" t="s">
        <v>50</v>
      </c>
      <c r="E130" s="2"/>
      <c r="F130" s="2"/>
    </row>
    <row r="131" customFormat="false" ht="15" hidden="false" customHeight="false" outlineLevel="0" collapsed="false">
      <c r="A131" s="3" t="n">
        <v>130</v>
      </c>
      <c r="B131" s="3" t="s">
        <v>278</v>
      </c>
      <c r="C131" s="3" t="s">
        <v>279</v>
      </c>
      <c r="D131" s="3" t="s">
        <v>174</v>
      </c>
      <c r="E131" s="3"/>
      <c r="F131" s="3"/>
    </row>
    <row r="132" customFormat="false" ht="15" hidden="false" customHeight="false" outlineLevel="0" collapsed="false">
      <c r="A132" s="2" t="n">
        <v>131</v>
      </c>
      <c r="B132" s="2" t="s">
        <v>280</v>
      </c>
      <c r="C132" s="2" t="s">
        <v>281</v>
      </c>
      <c r="D132" s="2" t="s">
        <v>33</v>
      </c>
      <c r="E132" s="2"/>
      <c r="F132" s="2"/>
    </row>
    <row r="133" customFormat="false" ht="15" hidden="false" customHeight="false" outlineLevel="0" collapsed="false">
      <c r="A133" s="3" t="n">
        <v>132</v>
      </c>
      <c r="B133" s="3" t="s">
        <v>282</v>
      </c>
      <c r="C133" s="3" t="s">
        <v>283</v>
      </c>
      <c r="D133" s="3" t="s">
        <v>24</v>
      </c>
      <c r="E133" s="3"/>
      <c r="F133" s="3"/>
    </row>
    <row r="134" customFormat="false" ht="15" hidden="false" customHeight="false" outlineLevel="0" collapsed="false">
      <c r="A134" s="2" t="n">
        <v>133</v>
      </c>
      <c r="B134" s="2" t="s">
        <v>284</v>
      </c>
      <c r="C134" s="2" t="s">
        <v>285</v>
      </c>
      <c r="D134" s="2" t="s">
        <v>129</v>
      </c>
      <c r="E134" s="2"/>
      <c r="F134" s="2"/>
    </row>
    <row r="135" customFormat="false" ht="15" hidden="false" customHeight="false" outlineLevel="0" collapsed="false">
      <c r="A135" s="3" t="n">
        <v>134</v>
      </c>
      <c r="B135" s="3" t="s">
        <v>286</v>
      </c>
      <c r="C135" s="3" t="s">
        <v>287</v>
      </c>
      <c r="D135" s="3" t="s">
        <v>8</v>
      </c>
      <c r="E135" s="3"/>
      <c r="F135" s="3"/>
    </row>
    <row r="136" customFormat="false" ht="15" hidden="false" customHeight="false" outlineLevel="0" collapsed="false">
      <c r="A136" s="2" t="n">
        <v>135</v>
      </c>
      <c r="B136" s="2" t="s">
        <v>288</v>
      </c>
      <c r="C136" s="2" t="s">
        <v>289</v>
      </c>
      <c r="D136" s="2" t="s">
        <v>27</v>
      </c>
      <c r="E136" s="2"/>
      <c r="F136" s="2"/>
    </row>
    <row r="137" customFormat="false" ht="15" hidden="false" customHeight="false" outlineLevel="0" collapsed="false">
      <c r="A137" s="3" t="n">
        <v>136</v>
      </c>
      <c r="B137" s="3" t="s">
        <v>290</v>
      </c>
      <c r="C137" s="3" t="s">
        <v>291</v>
      </c>
      <c r="D137" s="3" t="s">
        <v>50</v>
      </c>
      <c r="E137" s="3"/>
      <c r="F137" s="3"/>
    </row>
    <row r="138" customFormat="false" ht="15" hidden="false" customHeight="false" outlineLevel="0" collapsed="false">
      <c r="A138" s="2" t="n">
        <v>137</v>
      </c>
      <c r="B138" s="2" t="s">
        <v>292</v>
      </c>
      <c r="C138" s="2" t="s">
        <v>293</v>
      </c>
      <c r="D138" s="2" t="s">
        <v>129</v>
      </c>
      <c r="E138" s="2"/>
      <c r="F138" s="2"/>
    </row>
    <row r="139" customFormat="false" ht="15" hidden="false" customHeight="false" outlineLevel="0" collapsed="false">
      <c r="A139" s="3" t="n">
        <v>138</v>
      </c>
      <c r="B139" s="3" t="s">
        <v>294</v>
      </c>
      <c r="C139" s="3" t="s">
        <v>295</v>
      </c>
      <c r="D139" s="3" t="s">
        <v>11</v>
      </c>
      <c r="E139" s="3"/>
      <c r="F139" s="3"/>
    </row>
    <row r="140" customFormat="false" ht="15" hidden="false" customHeight="false" outlineLevel="0" collapsed="false">
      <c r="A140" s="2" t="n">
        <v>139</v>
      </c>
      <c r="B140" s="2" t="s">
        <v>296</v>
      </c>
      <c r="C140" s="2" t="s">
        <v>297</v>
      </c>
      <c r="D140" s="2" t="s">
        <v>16</v>
      </c>
      <c r="E140" s="2"/>
      <c r="F140" s="2"/>
    </row>
    <row r="141" customFormat="false" ht="15" hidden="false" customHeight="false" outlineLevel="0" collapsed="false">
      <c r="A141" s="3" t="n">
        <v>140</v>
      </c>
      <c r="B141" s="3" t="s">
        <v>298</v>
      </c>
      <c r="C141" s="3" t="s">
        <v>299</v>
      </c>
      <c r="D141" s="3" t="s">
        <v>136</v>
      </c>
      <c r="E141" s="3"/>
      <c r="F141" s="3"/>
    </row>
    <row r="142" customFormat="false" ht="15" hidden="false" customHeight="false" outlineLevel="0" collapsed="false">
      <c r="A142" s="2" t="n">
        <v>141</v>
      </c>
      <c r="B142" s="2" t="s">
        <v>300</v>
      </c>
      <c r="C142" s="2" t="s">
        <v>301</v>
      </c>
      <c r="D142" s="2" t="s">
        <v>66</v>
      </c>
      <c r="E142" s="2"/>
      <c r="F142" s="2"/>
    </row>
    <row r="143" customFormat="false" ht="15" hidden="false" customHeight="false" outlineLevel="0" collapsed="false">
      <c r="A143" s="3" t="n">
        <v>142</v>
      </c>
      <c r="B143" s="3" t="s">
        <v>302</v>
      </c>
      <c r="C143" s="3" t="s">
        <v>303</v>
      </c>
      <c r="D143" s="3" t="s">
        <v>50</v>
      </c>
      <c r="E143" s="3"/>
      <c r="F143" s="3"/>
    </row>
    <row r="144" customFormat="false" ht="15" hidden="false" customHeight="false" outlineLevel="0" collapsed="false">
      <c r="A144" s="2" t="n">
        <v>143</v>
      </c>
      <c r="B144" s="2" t="s">
        <v>304</v>
      </c>
      <c r="C144" s="2" t="s">
        <v>305</v>
      </c>
      <c r="D144" s="2" t="s">
        <v>27</v>
      </c>
      <c r="E144" s="2"/>
      <c r="F144" s="2"/>
    </row>
    <row r="145" customFormat="false" ht="15" hidden="false" customHeight="false" outlineLevel="0" collapsed="false">
      <c r="A145" s="3" t="n">
        <v>144</v>
      </c>
      <c r="B145" s="3" t="s">
        <v>306</v>
      </c>
      <c r="C145" s="3" t="s">
        <v>307</v>
      </c>
      <c r="D145" s="3" t="s">
        <v>27</v>
      </c>
      <c r="E145" s="3"/>
      <c r="F145" s="3"/>
    </row>
    <row r="146" customFormat="false" ht="15" hidden="false" customHeight="false" outlineLevel="0" collapsed="false">
      <c r="A146" s="2" t="n">
        <v>145</v>
      </c>
      <c r="B146" s="2" t="s">
        <v>308</v>
      </c>
      <c r="C146" s="2" t="s">
        <v>308</v>
      </c>
      <c r="D146" s="2" t="s">
        <v>50</v>
      </c>
      <c r="E146" s="2"/>
      <c r="F146" s="2"/>
    </row>
    <row r="147" customFormat="false" ht="15" hidden="false" customHeight="false" outlineLevel="0" collapsed="false">
      <c r="A147" s="3" t="n">
        <v>146</v>
      </c>
      <c r="B147" s="3" t="s">
        <v>309</v>
      </c>
      <c r="C147" s="3" t="s">
        <v>310</v>
      </c>
      <c r="D147" s="3" t="s">
        <v>47</v>
      </c>
      <c r="E147" s="3"/>
      <c r="F147" s="3"/>
    </row>
    <row r="148" customFormat="false" ht="15" hidden="false" customHeight="false" outlineLevel="0" collapsed="false">
      <c r="A148" s="2" t="n">
        <v>147</v>
      </c>
      <c r="B148" s="2" t="s">
        <v>311</v>
      </c>
      <c r="C148" s="2" t="s">
        <v>312</v>
      </c>
      <c r="D148" s="2" t="s">
        <v>50</v>
      </c>
      <c r="E148" s="2"/>
      <c r="F148" s="2"/>
    </row>
    <row r="149" customFormat="false" ht="15" hidden="false" customHeight="false" outlineLevel="0" collapsed="false">
      <c r="A149" s="3" t="n">
        <v>148</v>
      </c>
      <c r="B149" s="3" t="s">
        <v>313</v>
      </c>
      <c r="C149" s="3" t="s">
        <v>261</v>
      </c>
      <c r="D149" s="3" t="s">
        <v>38</v>
      </c>
      <c r="E149" s="3"/>
      <c r="F149" s="3"/>
    </row>
    <row r="150" customFormat="false" ht="15" hidden="false" customHeight="false" outlineLevel="0" collapsed="false">
      <c r="A150" s="2" t="n">
        <v>149</v>
      </c>
      <c r="B150" s="2" t="s">
        <v>314</v>
      </c>
      <c r="C150" s="2" t="s">
        <v>315</v>
      </c>
      <c r="D150" s="2" t="s">
        <v>21</v>
      </c>
      <c r="E150" s="2"/>
      <c r="F150" s="2"/>
    </row>
    <row r="151" customFormat="false" ht="15" hidden="false" customHeight="false" outlineLevel="0" collapsed="false">
      <c r="A151" s="3" t="n">
        <v>150</v>
      </c>
      <c r="B151" s="3" t="s">
        <v>316</v>
      </c>
      <c r="C151" s="3" t="s">
        <v>317</v>
      </c>
      <c r="D151" s="3" t="s">
        <v>121</v>
      </c>
      <c r="E151" s="3"/>
      <c r="F151" s="3"/>
    </row>
    <row r="152" customFormat="false" ht="15" hidden="false" customHeight="false" outlineLevel="0" collapsed="false">
      <c r="A152" s="2" t="n">
        <v>151</v>
      </c>
      <c r="B152" s="2" t="s">
        <v>318</v>
      </c>
      <c r="C152" s="2" t="s">
        <v>318</v>
      </c>
      <c r="D152" s="2" t="s">
        <v>16</v>
      </c>
      <c r="E152" s="2"/>
      <c r="F152" s="2"/>
    </row>
    <row r="153" customFormat="false" ht="15" hidden="false" customHeight="false" outlineLevel="0" collapsed="false">
      <c r="A153" s="3" t="n">
        <v>152</v>
      </c>
      <c r="B153" s="3" t="s">
        <v>319</v>
      </c>
      <c r="C153" s="3" t="s">
        <v>320</v>
      </c>
      <c r="D153" s="3" t="s">
        <v>27</v>
      </c>
      <c r="E153" s="3"/>
      <c r="F153" s="3"/>
    </row>
    <row r="154" customFormat="false" ht="15" hidden="false" customHeight="false" outlineLevel="0" collapsed="false">
      <c r="A154" s="2" t="n">
        <v>153</v>
      </c>
      <c r="B154" s="2" t="s">
        <v>321</v>
      </c>
      <c r="C154" s="2" t="s">
        <v>322</v>
      </c>
      <c r="D154" s="2" t="s">
        <v>27</v>
      </c>
      <c r="E154" s="2"/>
      <c r="F154" s="2"/>
    </row>
    <row r="155" customFormat="false" ht="15" hidden="false" customHeight="false" outlineLevel="0" collapsed="false">
      <c r="A155" s="3" t="n">
        <v>154</v>
      </c>
      <c r="B155" s="3" t="s">
        <v>323</v>
      </c>
      <c r="C155" s="3" t="s">
        <v>324</v>
      </c>
      <c r="D155" s="3" t="s">
        <v>16</v>
      </c>
      <c r="E155" s="3"/>
      <c r="F155" s="3"/>
    </row>
    <row r="156" customFormat="false" ht="15" hidden="false" customHeight="false" outlineLevel="0" collapsed="false">
      <c r="A156" s="2" t="n">
        <v>155</v>
      </c>
      <c r="B156" s="2" t="s">
        <v>325</v>
      </c>
      <c r="C156" s="2" t="s">
        <v>326</v>
      </c>
      <c r="D156" s="2" t="s">
        <v>121</v>
      </c>
      <c r="E156" s="2"/>
      <c r="F156" s="2"/>
    </row>
    <row r="157" customFormat="false" ht="15" hidden="false" customHeight="false" outlineLevel="0" collapsed="false">
      <c r="A157" s="3" t="n">
        <v>156</v>
      </c>
      <c r="B157" s="3" t="s">
        <v>327</v>
      </c>
      <c r="C157" s="3" t="s">
        <v>328</v>
      </c>
      <c r="D157" s="3" t="s">
        <v>16</v>
      </c>
      <c r="E157" s="3"/>
      <c r="F157" s="3"/>
    </row>
    <row r="158" customFormat="false" ht="15" hidden="false" customHeight="false" outlineLevel="0" collapsed="false">
      <c r="A158" s="2" t="n">
        <v>157</v>
      </c>
      <c r="B158" s="2" t="s">
        <v>329</v>
      </c>
      <c r="C158" s="2" t="s">
        <v>330</v>
      </c>
      <c r="D158" s="2" t="s">
        <v>27</v>
      </c>
      <c r="E158" s="2"/>
      <c r="F158" s="2"/>
    </row>
    <row r="159" customFormat="false" ht="15" hidden="false" customHeight="false" outlineLevel="0" collapsed="false">
      <c r="A159" s="3" t="n">
        <v>158</v>
      </c>
      <c r="B159" s="3" t="s">
        <v>331</v>
      </c>
      <c r="C159" s="3" t="s">
        <v>332</v>
      </c>
      <c r="D159" s="3" t="s">
        <v>16</v>
      </c>
      <c r="E159" s="3"/>
      <c r="F159" s="3"/>
    </row>
    <row r="160" customFormat="false" ht="15" hidden="false" customHeight="false" outlineLevel="0" collapsed="false">
      <c r="A160" s="2" t="n">
        <v>159</v>
      </c>
      <c r="B160" s="2" t="s">
        <v>333</v>
      </c>
      <c r="C160" s="2" t="s">
        <v>334</v>
      </c>
      <c r="D160" s="2" t="s">
        <v>38</v>
      </c>
      <c r="E160" s="2"/>
      <c r="F160" s="2"/>
    </row>
    <row r="161" customFormat="false" ht="15" hidden="false" customHeight="false" outlineLevel="0" collapsed="false">
      <c r="A161" s="3" t="n">
        <v>160</v>
      </c>
      <c r="B161" s="3" t="s">
        <v>335</v>
      </c>
      <c r="C161" s="3" t="s">
        <v>336</v>
      </c>
      <c r="D161" s="3" t="s">
        <v>8</v>
      </c>
      <c r="E161" s="3"/>
      <c r="F161" s="3"/>
    </row>
    <row r="162" customFormat="false" ht="15" hidden="false" customHeight="false" outlineLevel="0" collapsed="false">
      <c r="A162" s="2" t="n">
        <v>161</v>
      </c>
      <c r="B162" s="2" t="s">
        <v>337</v>
      </c>
      <c r="C162" s="2" t="s">
        <v>338</v>
      </c>
      <c r="D162" s="2" t="s">
        <v>16</v>
      </c>
      <c r="E162" s="2"/>
      <c r="F162" s="2"/>
    </row>
    <row r="163" customFormat="false" ht="15" hidden="false" customHeight="false" outlineLevel="0" collapsed="false">
      <c r="A163" s="3" t="n">
        <v>162</v>
      </c>
      <c r="B163" s="3" t="s">
        <v>339</v>
      </c>
      <c r="C163" s="3" t="s">
        <v>340</v>
      </c>
      <c r="D163" s="3" t="s">
        <v>8</v>
      </c>
      <c r="E163" s="3"/>
      <c r="F163" s="3"/>
    </row>
    <row r="164" customFormat="false" ht="15" hidden="false" customHeight="false" outlineLevel="0" collapsed="false">
      <c r="A164" s="2" t="n">
        <v>163</v>
      </c>
      <c r="B164" s="2" t="s">
        <v>341</v>
      </c>
      <c r="C164" s="2" t="s">
        <v>342</v>
      </c>
      <c r="D164" s="2" t="s">
        <v>24</v>
      </c>
      <c r="E164" s="2"/>
      <c r="F164" s="2"/>
    </row>
    <row r="165" customFormat="false" ht="15" hidden="false" customHeight="false" outlineLevel="0" collapsed="false">
      <c r="A165" s="3" t="n">
        <v>164</v>
      </c>
      <c r="B165" s="3" t="s">
        <v>343</v>
      </c>
      <c r="C165" s="3" t="s">
        <v>344</v>
      </c>
      <c r="D165" s="3" t="s">
        <v>16</v>
      </c>
      <c r="E165" s="3"/>
      <c r="F165" s="3"/>
    </row>
    <row r="166" customFormat="false" ht="15" hidden="false" customHeight="false" outlineLevel="0" collapsed="false">
      <c r="A166" s="2" t="n">
        <v>165</v>
      </c>
      <c r="B166" s="2" t="s">
        <v>345</v>
      </c>
      <c r="C166" s="2" t="s">
        <v>346</v>
      </c>
      <c r="D166" s="2" t="s">
        <v>24</v>
      </c>
      <c r="E166" s="2"/>
      <c r="F166" s="2"/>
    </row>
    <row r="167" customFormat="false" ht="15" hidden="false" customHeight="false" outlineLevel="0" collapsed="false">
      <c r="A167" s="3" t="n">
        <v>166</v>
      </c>
      <c r="B167" s="3" t="s">
        <v>347</v>
      </c>
      <c r="C167" s="3" t="s">
        <v>347</v>
      </c>
      <c r="D167" s="3" t="s">
        <v>129</v>
      </c>
      <c r="E167" s="3"/>
      <c r="F167" s="3"/>
    </row>
    <row r="168" customFormat="false" ht="15" hidden="false" customHeight="false" outlineLevel="0" collapsed="false">
      <c r="A168" s="2" t="n">
        <v>167</v>
      </c>
      <c r="B168" s="2" t="s">
        <v>348</v>
      </c>
      <c r="C168" s="2" t="s">
        <v>349</v>
      </c>
      <c r="D168" s="2" t="s">
        <v>8</v>
      </c>
      <c r="E168" s="2"/>
      <c r="F168" s="2"/>
    </row>
    <row r="169" customFormat="false" ht="15" hidden="false" customHeight="false" outlineLevel="0" collapsed="false">
      <c r="A169" s="3" t="n">
        <v>168</v>
      </c>
      <c r="B169" s="3" t="s">
        <v>350</v>
      </c>
      <c r="C169" s="3" t="s">
        <v>35</v>
      </c>
      <c r="D169" s="3" t="s">
        <v>33</v>
      </c>
      <c r="E169" s="3"/>
      <c r="F169" s="3"/>
    </row>
    <row r="170" customFormat="false" ht="15" hidden="false" customHeight="false" outlineLevel="0" collapsed="false">
      <c r="A170" s="2" t="n">
        <v>169</v>
      </c>
      <c r="B170" s="2" t="s">
        <v>351</v>
      </c>
      <c r="C170" s="2" t="s">
        <v>352</v>
      </c>
      <c r="D170" s="2" t="s">
        <v>11</v>
      </c>
      <c r="E170" s="2"/>
      <c r="F170" s="2"/>
    </row>
    <row r="171" customFormat="false" ht="15" hidden="false" customHeight="false" outlineLevel="0" collapsed="false">
      <c r="A171" s="3" t="n">
        <v>170</v>
      </c>
      <c r="B171" s="3" t="s">
        <v>353</v>
      </c>
      <c r="C171" s="3" t="s">
        <v>354</v>
      </c>
      <c r="D171" s="3" t="s">
        <v>24</v>
      </c>
      <c r="E171" s="3"/>
      <c r="F171" s="3"/>
    </row>
    <row r="172" customFormat="false" ht="15" hidden="false" customHeight="false" outlineLevel="0" collapsed="false">
      <c r="A172" s="2" t="n">
        <v>171</v>
      </c>
      <c r="B172" s="2" t="s">
        <v>355</v>
      </c>
      <c r="C172" s="2" t="s">
        <v>356</v>
      </c>
      <c r="D172" s="2" t="s">
        <v>16</v>
      </c>
      <c r="E172" s="2"/>
      <c r="F172" s="2"/>
    </row>
    <row r="173" customFormat="false" ht="15" hidden="false" customHeight="false" outlineLevel="0" collapsed="false">
      <c r="A173" s="3" t="n">
        <v>172</v>
      </c>
      <c r="B173" s="3" t="s">
        <v>357</v>
      </c>
      <c r="C173" s="3" t="s">
        <v>358</v>
      </c>
      <c r="D173" s="3" t="s">
        <v>21</v>
      </c>
      <c r="E173" s="3"/>
      <c r="F173" s="3"/>
    </row>
    <row r="174" customFormat="false" ht="15" hidden="false" customHeight="false" outlineLevel="0" collapsed="false">
      <c r="A174" s="2" t="n">
        <v>173</v>
      </c>
      <c r="B174" s="2" t="s">
        <v>359</v>
      </c>
      <c r="C174" s="2" t="s">
        <v>360</v>
      </c>
      <c r="D174" s="2" t="s">
        <v>66</v>
      </c>
      <c r="E174" s="2"/>
      <c r="F174" s="2"/>
    </row>
    <row r="175" customFormat="false" ht="15" hidden="false" customHeight="false" outlineLevel="0" collapsed="false">
      <c r="A175" s="3" t="n">
        <v>174</v>
      </c>
      <c r="B175" s="3" t="s">
        <v>361</v>
      </c>
      <c r="C175" s="3" t="s">
        <v>362</v>
      </c>
      <c r="D175" s="3" t="s">
        <v>27</v>
      </c>
      <c r="E175" s="3"/>
      <c r="F175" s="3"/>
    </row>
    <row r="176" customFormat="false" ht="15" hidden="false" customHeight="false" outlineLevel="0" collapsed="false">
      <c r="A176" s="2" t="n">
        <v>175</v>
      </c>
      <c r="B176" s="2" t="s">
        <v>363</v>
      </c>
      <c r="C176" s="2" t="s">
        <v>364</v>
      </c>
      <c r="D176" s="2" t="s">
        <v>11</v>
      </c>
      <c r="E176" s="2"/>
      <c r="F176" s="2"/>
    </row>
    <row r="177" customFormat="false" ht="15" hidden="false" customHeight="false" outlineLevel="0" collapsed="false">
      <c r="A177" s="3" t="n">
        <v>176</v>
      </c>
      <c r="B177" s="3" t="s">
        <v>365</v>
      </c>
      <c r="C177" s="3" t="s">
        <v>366</v>
      </c>
      <c r="D177" s="3" t="s">
        <v>8</v>
      </c>
      <c r="E177" s="3"/>
      <c r="F177" s="3"/>
    </row>
    <row r="178" customFormat="false" ht="15" hidden="false" customHeight="false" outlineLevel="0" collapsed="false">
      <c r="A178" s="2" t="n">
        <v>177</v>
      </c>
      <c r="B178" s="2" t="s">
        <v>367</v>
      </c>
      <c r="C178" s="2" t="s">
        <v>368</v>
      </c>
      <c r="D178" s="2" t="s">
        <v>8</v>
      </c>
      <c r="E178" s="2"/>
      <c r="F178" s="2"/>
    </row>
    <row r="179" customFormat="false" ht="15" hidden="false" customHeight="false" outlineLevel="0" collapsed="false">
      <c r="A179" s="3" t="n">
        <v>178</v>
      </c>
      <c r="B179" s="3" t="s">
        <v>369</v>
      </c>
      <c r="C179" s="3" t="s">
        <v>369</v>
      </c>
      <c r="D179" s="3" t="s">
        <v>121</v>
      </c>
      <c r="E179" s="3"/>
      <c r="F179" s="3"/>
    </row>
    <row r="180" customFormat="false" ht="15" hidden="false" customHeight="false" outlineLevel="0" collapsed="false">
      <c r="A180" s="2" t="n">
        <v>179</v>
      </c>
      <c r="B180" s="2" t="s">
        <v>370</v>
      </c>
      <c r="C180" s="2" t="s">
        <v>371</v>
      </c>
      <c r="D180" s="2" t="s">
        <v>38</v>
      </c>
      <c r="E180" s="2"/>
      <c r="F180" s="2"/>
    </row>
    <row r="181" customFormat="false" ht="15" hidden="false" customHeight="false" outlineLevel="0" collapsed="false">
      <c r="A181" s="3" t="n">
        <v>180</v>
      </c>
      <c r="B181" s="3" t="s">
        <v>372</v>
      </c>
      <c r="C181" s="3" t="s">
        <v>373</v>
      </c>
      <c r="D181" s="3" t="s">
        <v>16</v>
      </c>
      <c r="E181" s="3"/>
      <c r="F181" s="3"/>
    </row>
    <row r="182" customFormat="false" ht="15" hidden="false" customHeight="false" outlineLevel="0" collapsed="false">
      <c r="A182" s="2" t="n">
        <v>181</v>
      </c>
      <c r="B182" s="2" t="s">
        <v>374</v>
      </c>
      <c r="C182" s="2" t="s">
        <v>375</v>
      </c>
      <c r="D182" s="2" t="s">
        <v>47</v>
      </c>
      <c r="E182" s="2"/>
      <c r="F182" s="2"/>
    </row>
    <row r="183" customFormat="false" ht="15" hidden="false" customHeight="false" outlineLevel="0" collapsed="false">
      <c r="A183" s="3" t="n">
        <v>182</v>
      </c>
      <c r="B183" s="3" t="s">
        <v>376</v>
      </c>
      <c r="C183" s="3" t="s">
        <v>377</v>
      </c>
      <c r="D183" s="3" t="s">
        <v>16</v>
      </c>
      <c r="E183" s="3"/>
      <c r="F183" s="3"/>
    </row>
    <row r="184" customFormat="false" ht="15" hidden="false" customHeight="false" outlineLevel="0" collapsed="false">
      <c r="A184" s="2" t="n">
        <v>183</v>
      </c>
      <c r="B184" s="2" t="s">
        <v>378</v>
      </c>
      <c r="C184" s="2" t="s">
        <v>379</v>
      </c>
      <c r="D184" s="2" t="s">
        <v>16</v>
      </c>
      <c r="E184" s="2"/>
      <c r="F184" s="2"/>
    </row>
    <row r="185" customFormat="false" ht="15" hidden="false" customHeight="false" outlineLevel="0" collapsed="false">
      <c r="A185" s="3" t="n">
        <v>184</v>
      </c>
      <c r="B185" s="3" t="s">
        <v>380</v>
      </c>
      <c r="C185" s="3" t="s">
        <v>381</v>
      </c>
      <c r="D185" s="3" t="s">
        <v>8</v>
      </c>
      <c r="E185" s="3"/>
      <c r="F185" s="3"/>
    </row>
    <row r="186" customFormat="false" ht="15" hidden="false" customHeight="false" outlineLevel="0" collapsed="false">
      <c r="A186" s="2" t="n">
        <v>185</v>
      </c>
      <c r="B186" s="2" t="s">
        <v>382</v>
      </c>
      <c r="C186" s="2" t="s">
        <v>383</v>
      </c>
      <c r="D186" s="2" t="s">
        <v>121</v>
      </c>
      <c r="E186" s="2"/>
      <c r="F186" s="2"/>
    </row>
    <row r="187" customFormat="false" ht="15" hidden="false" customHeight="false" outlineLevel="0" collapsed="false">
      <c r="A187" s="3" t="n">
        <v>186</v>
      </c>
      <c r="B187" s="3" t="s">
        <v>384</v>
      </c>
      <c r="C187" s="3" t="s">
        <v>173</v>
      </c>
      <c r="D187" s="3" t="s">
        <v>27</v>
      </c>
      <c r="E187" s="3"/>
      <c r="F187" s="3"/>
    </row>
    <row r="188" customFormat="false" ht="15" hidden="false" customHeight="false" outlineLevel="0" collapsed="false">
      <c r="A188" s="2" t="n">
        <v>187</v>
      </c>
      <c r="B188" s="2" t="s">
        <v>385</v>
      </c>
      <c r="C188" s="2" t="s">
        <v>385</v>
      </c>
      <c r="D188" s="2" t="s">
        <v>8</v>
      </c>
      <c r="E188" s="2"/>
      <c r="F188" s="2"/>
    </row>
    <row r="189" customFormat="false" ht="15" hidden="false" customHeight="false" outlineLevel="0" collapsed="false">
      <c r="A189" s="3" t="n">
        <v>188</v>
      </c>
      <c r="B189" s="3" t="s">
        <v>386</v>
      </c>
      <c r="C189" s="3" t="s">
        <v>387</v>
      </c>
      <c r="D189" s="3" t="s">
        <v>33</v>
      </c>
      <c r="E189" s="3"/>
      <c r="F189" s="3"/>
    </row>
    <row r="190" customFormat="false" ht="15" hidden="false" customHeight="false" outlineLevel="0" collapsed="false">
      <c r="A190" s="2" t="n">
        <v>189</v>
      </c>
      <c r="B190" s="2" t="s">
        <v>388</v>
      </c>
      <c r="C190" s="2" t="s">
        <v>389</v>
      </c>
      <c r="D190" s="2" t="s">
        <v>66</v>
      </c>
      <c r="E190" s="2"/>
      <c r="F190" s="2"/>
    </row>
    <row r="191" customFormat="false" ht="15" hidden="false" customHeight="false" outlineLevel="0" collapsed="false">
      <c r="A191" s="3" t="n">
        <v>190</v>
      </c>
      <c r="B191" s="3" t="s">
        <v>390</v>
      </c>
      <c r="C191" s="3" t="s">
        <v>391</v>
      </c>
      <c r="D191" s="3" t="s">
        <v>16</v>
      </c>
      <c r="E191" s="3"/>
      <c r="F191" s="3"/>
    </row>
    <row r="192" customFormat="false" ht="15" hidden="false" customHeight="false" outlineLevel="0" collapsed="false">
      <c r="A192" s="2" t="n">
        <v>191</v>
      </c>
      <c r="B192" s="2" t="s">
        <v>392</v>
      </c>
      <c r="C192" s="2" t="s">
        <v>392</v>
      </c>
      <c r="D192" s="2" t="s">
        <v>136</v>
      </c>
      <c r="E192" s="2"/>
      <c r="F192" s="2"/>
    </row>
    <row r="193" customFormat="false" ht="15" hidden="false" customHeight="false" outlineLevel="0" collapsed="false">
      <c r="A193" s="3" t="n">
        <v>192</v>
      </c>
      <c r="B193" s="3" t="s">
        <v>393</v>
      </c>
      <c r="C193" s="3" t="s">
        <v>394</v>
      </c>
      <c r="D193" s="3" t="s">
        <v>16</v>
      </c>
      <c r="E193" s="3"/>
      <c r="F193" s="3"/>
    </row>
    <row r="194" customFormat="false" ht="15" hidden="false" customHeight="false" outlineLevel="0" collapsed="false">
      <c r="A194" s="2" t="n">
        <v>193</v>
      </c>
      <c r="B194" s="2" t="s">
        <v>395</v>
      </c>
      <c r="C194" s="2" t="s">
        <v>396</v>
      </c>
      <c r="D194" s="2" t="s">
        <v>11</v>
      </c>
      <c r="E194" s="2"/>
      <c r="F194" s="2"/>
    </row>
    <row r="195" customFormat="false" ht="15" hidden="false" customHeight="false" outlineLevel="0" collapsed="false">
      <c r="A195" s="3" t="n">
        <v>194</v>
      </c>
      <c r="B195" s="3" t="s">
        <v>397</v>
      </c>
      <c r="C195" s="3" t="s">
        <v>398</v>
      </c>
      <c r="D195" s="3" t="s">
        <v>16</v>
      </c>
      <c r="E195" s="3"/>
      <c r="F195" s="3"/>
    </row>
    <row r="196" customFormat="false" ht="15" hidden="false" customHeight="false" outlineLevel="0" collapsed="false">
      <c r="A196" s="2" t="n">
        <v>195</v>
      </c>
      <c r="B196" s="2" t="s">
        <v>399</v>
      </c>
      <c r="C196" s="2" t="s">
        <v>399</v>
      </c>
      <c r="D196" s="2" t="s">
        <v>21</v>
      </c>
      <c r="E196" s="2"/>
      <c r="F196" s="2"/>
    </row>
    <row r="197" customFormat="false" ht="15" hidden="false" customHeight="false" outlineLevel="0" collapsed="false">
      <c r="A197" s="3" t="n">
        <v>196</v>
      </c>
      <c r="B197" s="3" t="s">
        <v>400</v>
      </c>
      <c r="C197" s="3" t="s">
        <v>261</v>
      </c>
      <c r="D197" s="3" t="s">
        <v>21</v>
      </c>
      <c r="E197" s="3"/>
      <c r="F197" s="3"/>
    </row>
    <row r="198" customFormat="false" ht="15" hidden="false" customHeight="false" outlineLevel="0" collapsed="false">
      <c r="A198" s="2" t="n">
        <v>197</v>
      </c>
      <c r="B198" s="2" t="s">
        <v>401</v>
      </c>
      <c r="C198" s="2" t="s">
        <v>402</v>
      </c>
      <c r="D198" s="2" t="s">
        <v>47</v>
      </c>
      <c r="E198" s="2"/>
      <c r="F198" s="2"/>
    </row>
    <row r="199" customFormat="false" ht="15" hidden="false" customHeight="false" outlineLevel="0" collapsed="false">
      <c r="A199" s="3" t="n">
        <v>198</v>
      </c>
      <c r="B199" s="3" t="s">
        <v>403</v>
      </c>
      <c r="C199" s="3" t="s">
        <v>404</v>
      </c>
      <c r="D199" s="3" t="s">
        <v>85</v>
      </c>
      <c r="E199" s="3"/>
      <c r="F199" s="3"/>
    </row>
    <row r="200" customFormat="false" ht="15" hidden="false" customHeight="false" outlineLevel="0" collapsed="false">
      <c r="A200" s="2" t="n">
        <v>199</v>
      </c>
      <c r="B200" s="2" t="s">
        <v>405</v>
      </c>
      <c r="C200" s="2" t="s">
        <v>406</v>
      </c>
      <c r="D200" s="2" t="s">
        <v>16</v>
      </c>
      <c r="E200" s="2"/>
      <c r="F200" s="2"/>
    </row>
    <row r="201" customFormat="false" ht="15" hidden="false" customHeight="false" outlineLevel="0" collapsed="false">
      <c r="A201" s="3" t="n">
        <v>200</v>
      </c>
      <c r="B201" s="3" t="s">
        <v>407</v>
      </c>
      <c r="C201" s="3" t="s">
        <v>408</v>
      </c>
      <c r="D201" s="3" t="s">
        <v>11</v>
      </c>
      <c r="E201" s="3"/>
      <c r="F201" s="3"/>
    </row>
    <row r="202" customFormat="false" ht="15" hidden="false" customHeight="false" outlineLevel="0" collapsed="false">
      <c r="A202" s="2" t="n">
        <v>201</v>
      </c>
      <c r="B202" s="2" t="s">
        <v>409</v>
      </c>
      <c r="C202" s="2" t="s">
        <v>261</v>
      </c>
      <c r="D202" s="2" t="s">
        <v>21</v>
      </c>
      <c r="E202" s="2"/>
      <c r="F202" s="2"/>
    </row>
    <row r="203" customFormat="false" ht="15" hidden="false" customHeight="false" outlineLevel="0" collapsed="false">
      <c r="A203" s="3" t="n">
        <v>202</v>
      </c>
      <c r="B203" s="3" t="s">
        <v>410</v>
      </c>
      <c r="C203" s="3" t="s">
        <v>411</v>
      </c>
      <c r="D203" s="3" t="s">
        <v>16</v>
      </c>
      <c r="E203" s="3"/>
      <c r="F203" s="3"/>
    </row>
    <row r="204" customFormat="false" ht="15" hidden="false" customHeight="false" outlineLevel="0" collapsed="false">
      <c r="A204" s="2" t="n">
        <v>203</v>
      </c>
      <c r="B204" s="2" t="s">
        <v>412</v>
      </c>
      <c r="C204" s="2" t="s">
        <v>413</v>
      </c>
      <c r="D204" s="2" t="s">
        <v>8</v>
      </c>
      <c r="E204" s="2"/>
      <c r="F204" s="2"/>
    </row>
    <row r="205" customFormat="false" ht="15" hidden="false" customHeight="false" outlineLevel="0" collapsed="false">
      <c r="A205" s="3" t="n">
        <v>204</v>
      </c>
      <c r="B205" s="3" t="s">
        <v>414</v>
      </c>
      <c r="C205" s="3" t="s">
        <v>415</v>
      </c>
      <c r="D205" s="3" t="s">
        <v>16</v>
      </c>
      <c r="E205" s="3"/>
      <c r="F205" s="3"/>
    </row>
    <row r="206" customFormat="false" ht="15" hidden="false" customHeight="false" outlineLevel="0" collapsed="false">
      <c r="A206" s="2" t="n">
        <v>205</v>
      </c>
      <c r="B206" s="2" t="s">
        <v>416</v>
      </c>
      <c r="C206" s="2" t="s">
        <v>417</v>
      </c>
      <c r="D206" s="2" t="s">
        <v>30</v>
      </c>
      <c r="E206" s="2"/>
      <c r="F206" s="2"/>
    </row>
    <row r="207" customFormat="false" ht="15" hidden="false" customHeight="false" outlineLevel="0" collapsed="false">
      <c r="A207" s="3" t="n">
        <v>206</v>
      </c>
      <c r="B207" s="3" t="s">
        <v>418</v>
      </c>
      <c r="C207" s="3" t="s">
        <v>419</v>
      </c>
      <c r="D207" s="3" t="s">
        <v>8</v>
      </c>
      <c r="E207" s="3"/>
      <c r="F207" s="3"/>
    </row>
    <row r="208" customFormat="false" ht="15" hidden="false" customHeight="false" outlineLevel="0" collapsed="false">
      <c r="A208" s="2" t="n">
        <v>207</v>
      </c>
      <c r="B208" s="2" t="s">
        <v>420</v>
      </c>
      <c r="C208" s="2" t="s">
        <v>421</v>
      </c>
      <c r="D208" s="2" t="s">
        <v>85</v>
      </c>
      <c r="E208" s="2"/>
      <c r="F208" s="2"/>
    </row>
    <row r="209" customFormat="false" ht="15" hidden="false" customHeight="false" outlineLevel="0" collapsed="false">
      <c r="A209" s="3" t="n">
        <v>208</v>
      </c>
      <c r="B209" s="3" t="s">
        <v>422</v>
      </c>
      <c r="C209" s="3" t="s">
        <v>423</v>
      </c>
      <c r="D209" s="3" t="s">
        <v>47</v>
      </c>
      <c r="E209" s="3"/>
      <c r="F209" s="3"/>
    </row>
    <row r="210" customFormat="false" ht="15" hidden="false" customHeight="false" outlineLevel="0" collapsed="false">
      <c r="A210" s="2" t="n">
        <v>209</v>
      </c>
      <c r="B210" s="2" t="s">
        <v>424</v>
      </c>
      <c r="C210" s="2" t="s">
        <v>425</v>
      </c>
      <c r="D210" s="2" t="s">
        <v>8</v>
      </c>
      <c r="E210" s="2"/>
      <c r="F210" s="2"/>
    </row>
    <row r="211" customFormat="false" ht="15" hidden="false" customHeight="false" outlineLevel="0" collapsed="false">
      <c r="A211" s="3" t="n">
        <v>210</v>
      </c>
      <c r="B211" s="3" t="s">
        <v>426</v>
      </c>
      <c r="C211" s="3" t="s">
        <v>427</v>
      </c>
      <c r="D211" s="3" t="s">
        <v>8</v>
      </c>
      <c r="E211" s="3"/>
      <c r="F211" s="3"/>
    </row>
    <row r="212" customFormat="false" ht="15" hidden="false" customHeight="false" outlineLevel="0" collapsed="false">
      <c r="A212" s="2" t="n">
        <v>211</v>
      </c>
      <c r="B212" s="2" t="s">
        <v>428</v>
      </c>
      <c r="C212" s="2" t="s">
        <v>428</v>
      </c>
      <c r="D212" s="2" t="s">
        <v>24</v>
      </c>
      <c r="E212" s="2"/>
      <c r="F212" s="2"/>
    </row>
    <row r="213" customFormat="false" ht="15" hidden="false" customHeight="false" outlineLevel="0" collapsed="false">
      <c r="A213" s="3" t="n">
        <v>212</v>
      </c>
      <c r="B213" s="3" t="s">
        <v>429</v>
      </c>
      <c r="C213" s="3" t="s">
        <v>430</v>
      </c>
      <c r="D213" s="3" t="s">
        <v>16</v>
      </c>
      <c r="E213" s="3"/>
      <c r="F213" s="3"/>
    </row>
    <row r="214" customFormat="false" ht="15" hidden="false" customHeight="false" outlineLevel="0" collapsed="false">
      <c r="A214" s="2" t="n">
        <v>213</v>
      </c>
      <c r="B214" s="2" t="s">
        <v>431</v>
      </c>
      <c r="C214" s="2" t="s">
        <v>432</v>
      </c>
      <c r="D214" s="2" t="s">
        <v>66</v>
      </c>
      <c r="E214" s="2"/>
      <c r="F214" s="2"/>
    </row>
    <row r="215" customFormat="false" ht="15" hidden="false" customHeight="false" outlineLevel="0" collapsed="false">
      <c r="A215" s="3" t="n">
        <v>214</v>
      </c>
      <c r="B215" s="3" t="s">
        <v>433</v>
      </c>
      <c r="C215" s="3" t="s">
        <v>434</v>
      </c>
      <c r="D215" s="3" t="s">
        <v>30</v>
      </c>
      <c r="E215" s="3"/>
      <c r="F215" s="3"/>
    </row>
    <row r="216" customFormat="false" ht="15" hidden="false" customHeight="false" outlineLevel="0" collapsed="false">
      <c r="A216" s="2" t="n">
        <v>215</v>
      </c>
      <c r="B216" s="2" t="s">
        <v>435</v>
      </c>
      <c r="C216" s="2" t="s">
        <v>436</v>
      </c>
      <c r="D216" s="2" t="s">
        <v>16</v>
      </c>
      <c r="E216" s="2"/>
      <c r="F216" s="2"/>
    </row>
    <row r="217" customFormat="false" ht="15" hidden="false" customHeight="false" outlineLevel="0" collapsed="false">
      <c r="A217" s="3" t="n">
        <v>216</v>
      </c>
      <c r="B217" s="3" t="s">
        <v>437</v>
      </c>
      <c r="C217" s="3" t="s">
        <v>438</v>
      </c>
      <c r="D217" s="3" t="s">
        <v>16</v>
      </c>
      <c r="E217" s="3"/>
      <c r="F217" s="3"/>
    </row>
    <row r="218" customFormat="false" ht="15" hidden="false" customHeight="false" outlineLevel="0" collapsed="false">
      <c r="A218" s="2" t="n">
        <v>217</v>
      </c>
      <c r="B218" s="2" t="s">
        <v>439</v>
      </c>
      <c r="C218" s="2" t="s">
        <v>440</v>
      </c>
      <c r="D218" s="2" t="s">
        <v>8</v>
      </c>
      <c r="E218" s="2"/>
      <c r="F218" s="2"/>
    </row>
    <row r="219" customFormat="false" ht="15" hidden="false" customHeight="false" outlineLevel="0" collapsed="false">
      <c r="A219" s="3" t="n">
        <v>218</v>
      </c>
      <c r="B219" s="3" t="s">
        <v>441</v>
      </c>
      <c r="C219" s="3" t="s">
        <v>442</v>
      </c>
      <c r="D219" s="3" t="s">
        <v>8</v>
      </c>
      <c r="E219" s="3"/>
      <c r="F219" s="3"/>
    </row>
    <row r="220" customFormat="false" ht="15" hidden="false" customHeight="false" outlineLevel="0" collapsed="false">
      <c r="A220" s="2" t="n">
        <v>219</v>
      </c>
      <c r="B220" s="2" t="s">
        <v>443</v>
      </c>
      <c r="C220" s="2" t="s">
        <v>444</v>
      </c>
      <c r="D220" s="2" t="s">
        <v>11</v>
      </c>
      <c r="E220" s="2"/>
      <c r="F220" s="2"/>
    </row>
    <row r="221" customFormat="false" ht="15" hidden="false" customHeight="false" outlineLevel="0" collapsed="false">
      <c r="A221" s="3" t="n">
        <v>220</v>
      </c>
      <c r="B221" s="3" t="s">
        <v>445</v>
      </c>
      <c r="C221" s="3" t="s">
        <v>446</v>
      </c>
      <c r="D221" s="3" t="s">
        <v>8</v>
      </c>
      <c r="E221" s="3"/>
      <c r="F221" s="3"/>
    </row>
    <row r="222" customFormat="false" ht="15" hidden="false" customHeight="false" outlineLevel="0" collapsed="false">
      <c r="A222" s="2" t="n">
        <v>221</v>
      </c>
      <c r="B222" s="2" t="s">
        <v>447</v>
      </c>
      <c r="C222" s="2" t="s">
        <v>227</v>
      </c>
      <c r="D222" s="2" t="s">
        <v>55</v>
      </c>
      <c r="E222" s="2"/>
      <c r="F222" s="2"/>
    </row>
    <row r="223" customFormat="false" ht="15" hidden="false" customHeight="false" outlineLevel="0" collapsed="false">
      <c r="A223" s="3" t="n">
        <v>222</v>
      </c>
      <c r="B223" s="3" t="s">
        <v>448</v>
      </c>
      <c r="C223" s="3" t="s">
        <v>449</v>
      </c>
      <c r="D223" s="3" t="s">
        <v>16</v>
      </c>
      <c r="E223" s="3"/>
      <c r="F223" s="3"/>
    </row>
    <row r="224" customFormat="false" ht="15" hidden="false" customHeight="false" outlineLevel="0" collapsed="false">
      <c r="A224" s="2" t="n">
        <v>223</v>
      </c>
      <c r="B224" s="2" t="s">
        <v>450</v>
      </c>
      <c r="C224" s="2" t="s">
        <v>451</v>
      </c>
      <c r="D224" s="2" t="s">
        <v>30</v>
      </c>
      <c r="E224" s="2"/>
      <c r="F224" s="2"/>
    </row>
    <row r="225" customFormat="false" ht="15" hidden="false" customHeight="false" outlineLevel="0" collapsed="false">
      <c r="A225" s="3" t="n">
        <v>224</v>
      </c>
      <c r="B225" s="3" t="s">
        <v>452</v>
      </c>
      <c r="C225" s="3" t="s">
        <v>453</v>
      </c>
      <c r="D225" s="3" t="s">
        <v>16</v>
      </c>
      <c r="E225" s="3"/>
      <c r="F225" s="3"/>
    </row>
    <row r="226" customFormat="false" ht="15" hidden="false" customHeight="false" outlineLevel="0" collapsed="false">
      <c r="A226" s="2" t="n">
        <v>225</v>
      </c>
      <c r="B226" s="2" t="s">
        <v>454</v>
      </c>
      <c r="C226" s="2" t="s">
        <v>455</v>
      </c>
      <c r="D226" s="2" t="s">
        <v>21</v>
      </c>
      <c r="E226" s="2"/>
      <c r="F226" s="2"/>
    </row>
  </sheetData>
  <autoFilter ref="A1:F2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3</v>
      </c>
      <c r="B1" s="4" t="s">
        <v>456</v>
      </c>
      <c r="C1" s="4" t="s">
        <v>457</v>
      </c>
      <c r="D1" s="4" t="s">
        <v>458</v>
      </c>
    </row>
    <row r="2" customFormat="false" ht="15" hidden="false" customHeight="false" outlineLevel="0" collapsed="false">
      <c r="A2" s="5" t="s">
        <v>16</v>
      </c>
      <c r="B2" s="5" t="n">
        <f aca="false">COUNTIF(Exhibitors!D:D,A2)</f>
        <v>52</v>
      </c>
      <c r="C2" s="6" t="n">
        <f aca="false">B2/$B$21</f>
        <v>0.231111111111111</v>
      </c>
      <c r="D2" s="7" t="str">
        <f aca="false">REPT("|",B2)</f>
        <v>||||||||||||||||||||||||||||||||||||||||||||||||||||</v>
      </c>
    </row>
    <row r="3" customFormat="false" ht="15" hidden="false" customHeight="false" outlineLevel="0" collapsed="false">
      <c r="A3" s="5" t="s">
        <v>8</v>
      </c>
      <c r="B3" s="5" t="n">
        <f aca="false">COUNTIF(Exhibitors!D:D,A3)</f>
        <v>36</v>
      </c>
      <c r="C3" s="6" t="n">
        <f aca="false">B3/$B$21</f>
        <v>0.16</v>
      </c>
      <c r="D3" s="7" t="str">
        <f aca="false">REPT("|",B3)</f>
        <v>||||||||||||||||||||||||||||||||||||</v>
      </c>
    </row>
    <row r="4" customFormat="false" ht="15" hidden="false" customHeight="false" outlineLevel="0" collapsed="false">
      <c r="A4" s="5" t="s">
        <v>27</v>
      </c>
      <c r="B4" s="5" t="n">
        <f aca="false">COUNTIF(Exhibitors!D:D,A4)</f>
        <v>15</v>
      </c>
      <c r="C4" s="6" t="n">
        <f aca="false">B4/$B$21</f>
        <v>0.0666666666666667</v>
      </c>
      <c r="D4" s="7" t="str">
        <f aca="false">REPT("|",B4)</f>
        <v>|||||||||||||||</v>
      </c>
    </row>
    <row r="5" customFormat="false" ht="15" hidden="false" customHeight="false" outlineLevel="0" collapsed="false">
      <c r="A5" s="5" t="s">
        <v>66</v>
      </c>
      <c r="B5" s="5" t="n">
        <f aca="false">COUNTIF(Exhibitors!D:D,A5)</f>
        <v>12</v>
      </c>
      <c r="C5" s="6" t="n">
        <f aca="false">B5/$B$21</f>
        <v>0.0533333333333333</v>
      </c>
      <c r="D5" s="7" t="str">
        <f aca="false">REPT("|",B5)</f>
        <v>||||||||||||</v>
      </c>
    </row>
    <row r="6" customFormat="false" ht="15" hidden="false" customHeight="false" outlineLevel="0" collapsed="false">
      <c r="A6" s="5" t="s">
        <v>21</v>
      </c>
      <c r="B6" s="5" t="n">
        <f aca="false">COUNTIF(Exhibitors!D:D,A6)</f>
        <v>12</v>
      </c>
      <c r="C6" s="6" t="n">
        <f aca="false">B6/$B$21</f>
        <v>0.0533333333333333</v>
      </c>
      <c r="D6" s="7" t="str">
        <f aca="false">REPT("|",B6)</f>
        <v>||||||||||||</v>
      </c>
    </row>
    <row r="7" customFormat="false" ht="15" hidden="false" customHeight="false" outlineLevel="0" collapsed="false">
      <c r="A7" s="5" t="s">
        <v>24</v>
      </c>
      <c r="B7" s="5" t="n">
        <f aca="false">COUNTIF(Exhibitors!D:D,A7)</f>
        <v>12</v>
      </c>
      <c r="C7" s="6" t="n">
        <f aca="false">B7/$B$21</f>
        <v>0.0533333333333333</v>
      </c>
      <c r="D7" s="7" t="str">
        <f aca="false">REPT("|",B7)</f>
        <v>||||||||||||</v>
      </c>
    </row>
    <row r="8" customFormat="false" ht="15" hidden="false" customHeight="false" outlineLevel="0" collapsed="false">
      <c r="A8" s="5" t="s">
        <v>50</v>
      </c>
      <c r="B8" s="5" t="n">
        <f aca="false">COUNTIF(Exhibitors!D:D,A8)</f>
        <v>11</v>
      </c>
      <c r="C8" s="6" t="n">
        <f aca="false">B8/$B$21</f>
        <v>0.0488888888888889</v>
      </c>
      <c r="D8" s="7" t="str">
        <f aca="false">REPT("|",B8)</f>
        <v>|||||||||||</v>
      </c>
    </row>
    <row r="9" customFormat="false" ht="15" hidden="false" customHeight="false" outlineLevel="0" collapsed="false">
      <c r="A9" s="5" t="s">
        <v>47</v>
      </c>
      <c r="B9" s="5" t="n">
        <f aca="false">COUNTIF(Exhibitors!D:D,A9)</f>
        <v>10</v>
      </c>
      <c r="C9" s="6" t="n">
        <f aca="false">B9/$B$21</f>
        <v>0.0444444444444444</v>
      </c>
      <c r="D9" s="7" t="str">
        <f aca="false">REPT("|",B9)</f>
        <v>||||||||||</v>
      </c>
    </row>
    <row r="10" customFormat="false" ht="15" hidden="false" customHeight="false" outlineLevel="0" collapsed="false">
      <c r="A10" s="5" t="s">
        <v>30</v>
      </c>
      <c r="B10" s="5" t="n">
        <f aca="false">COUNTIF(Exhibitors!D:D,A10)</f>
        <v>10</v>
      </c>
      <c r="C10" s="6" t="n">
        <f aca="false">B10/$B$21</f>
        <v>0.0444444444444444</v>
      </c>
      <c r="D10" s="7" t="str">
        <f aca="false">REPT("|",B10)</f>
        <v>||||||||||</v>
      </c>
    </row>
    <row r="11" customFormat="false" ht="15" hidden="false" customHeight="false" outlineLevel="0" collapsed="false">
      <c r="A11" s="5" t="s">
        <v>11</v>
      </c>
      <c r="B11" s="5" t="n">
        <f aca="false">COUNTIF(Exhibitors!D:D,A11)</f>
        <v>9</v>
      </c>
      <c r="C11" s="6" t="n">
        <f aca="false">B11/$B$21</f>
        <v>0.04</v>
      </c>
      <c r="D11" s="7" t="str">
        <f aca="false">REPT("|",B11)</f>
        <v>|||||||||</v>
      </c>
    </row>
    <row r="12" customFormat="false" ht="15" hidden="false" customHeight="false" outlineLevel="0" collapsed="false">
      <c r="A12" s="5" t="s">
        <v>85</v>
      </c>
      <c r="B12" s="5" t="n">
        <f aca="false">COUNTIF(Exhibitors!D:D,A12)</f>
        <v>8</v>
      </c>
      <c r="C12" s="6" t="n">
        <f aca="false">B12/$B$21</f>
        <v>0.0355555555555556</v>
      </c>
      <c r="D12" s="7" t="str">
        <f aca="false">REPT("|",B12)</f>
        <v>||||||||</v>
      </c>
    </row>
    <row r="13" customFormat="false" ht="15" hidden="false" customHeight="false" outlineLevel="0" collapsed="false">
      <c r="A13" s="5" t="s">
        <v>121</v>
      </c>
      <c r="B13" s="5" t="n">
        <f aca="false">COUNTIF(Exhibitors!D:D,A13)</f>
        <v>7</v>
      </c>
      <c r="C13" s="6" t="n">
        <f aca="false">B13/$B$21</f>
        <v>0.0311111111111111</v>
      </c>
      <c r="D13" s="7" t="str">
        <f aca="false">REPT("|",B13)</f>
        <v>|||||||</v>
      </c>
    </row>
    <row r="14" customFormat="false" ht="15" hidden="false" customHeight="false" outlineLevel="0" collapsed="false">
      <c r="A14" s="5" t="s">
        <v>174</v>
      </c>
      <c r="B14" s="5" t="n">
        <f aca="false">COUNTIF(Exhibitors!D:D,A14)</f>
        <v>6</v>
      </c>
      <c r="C14" s="6" t="n">
        <f aca="false">B14/$B$21</f>
        <v>0.0266666666666667</v>
      </c>
      <c r="D14" s="7" t="str">
        <f aca="false">REPT("|",B14)</f>
        <v>||||||</v>
      </c>
    </row>
    <row r="15" customFormat="false" ht="15" hidden="false" customHeight="false" outlineLevel="0" collapsed="false">
      <c r="A15" s="5" t="s">
        <v>33</v>
      </c>
      <c r="B15" s="5" t="n">
        <f aca="false">COUNTIF(Exhibitors!D:D,A15)</f>
        <v>5</v>
      </c>
      <c r="C15" s="6" t="n">
        <f aca="false">B15/$B$21</f>
        <v>0.0222222222222222</v>
      </c>
      <c r="D15" s="7" t="str">
        <f aca="false">REPT("|",B15)</f>
        <v>|||||</v>
      </c>
    </row>
    <row r="16" customFormat="false" ht="15" hidden="false" customHeight="false" outlineLevel="0" collapsed="false">
      <c r="A16" s="5" t="s">
        <v>38</v>
      </c>
      <c r="B16" s="5" t="n">
        <f aca="false">COUNTIF(Exhibitors!D:D,A16)</f>
        <v>5</v>
      </c>
      <c r="C16" s="6" t="n">
        <f aca="false">B16/$B$21</f>
        <v>0.0222222222222222</v>
      </c>
      <c r="D16" s="7" t="str">
        <f aca="false">REPT("|",B16)</f>
        <v>|||||</v>
      </c>
    </row>
    <row r="17" customFormat="false" ht="15" hidden="false" customHeight="false" outlineLevel="0" collapsed="false">
      <c r="A17" s="5" t="s">
        <v>136</v>
      </c>
      <c r="B17" s="5" t="n">
        <f aca="false">COUNTIF(Exhibitors!D:D,A17)</f>
        <v>5</v>
      </c>
      <c r="C17" s="6" t="n">
        <f aca="false">B17/$B$21</f>
        <v>0.0222222222222222</v>
      </c>
      <c r="D17" s="7" t="str">
        <f aca="false">REPT("|",B17)</f>
        <v>|||||</v>
      </c>
    </row>
    <row r="18" customFormat="false" ht="15" hidden="false" customHeight="false" outlineLevel="0" collapsed="false">
      <c r="A18" s="5" t="s">
        <v>129</v>
      </c>
      <c r="B18" s="5" t="n">
        <f aca="false">COUNTIF(Exhibitors!D:D,A18)</f>
        <v>5</v>
      </c>
      <c r="C18" s="6" t="n">
        <f aca="false">B18/$B$21</f>
        <v>0.0222222222222222</v>
      </c>
      <c r="D18" s="7" t="str">
        <f aca="false">REPT("|",B18)</f>
        <v>|||||</v>
      </c>
    </row>
    <row r="19" customFormat="false" ht="15" hidden="false" customHeight="false" outlineLevel="0" collapsed="false">
      <c r="A19" s="5" t="s">
        <v>55</v>
      </c>
      <c r="B19" s="5" t="n">
        <f aca="false">COUNTIF(Exhibitors!D:D,A19)</f>
        <v>3</v>
      </c>
      <c r="C19" s="6" t="n">
        <f aca="false">B19/$B$21</f>
        <v>0.0133333333333333</v>
      </c>
      <c r="D19" s="7" t="str">
        <f aca="false">REPT("|",B19)</f>
        <v>|||</v>
      </c>
    </row>
    <row r="20" customFormat="false" ht="15" hidden="false" customHeight="false" outlineLevel="0" collapsed="false">
      <c r="A20" s="5" t="s">
        <v>18</v>
      </c>
      <c r="B20" s="5" t="n">
        <f aca="false">COUNTIF(Exhibitors!D:D,A20)</f>
        <v>2</v>
      </c>
      <c r="C20" s="6" t="n">
        <f aca="false">B20/$B$21</f>
        <v>0.00888888888888889</v>
      </c>
      <c r="D20" s="7" t="str">
        <f aca="false">REPT("|",B20)</f>
        <v>||</v>
      </c>
    </row>
    <row r="21" customFormat="false" ht="15" hidden="false" customHeight="false" outlineLevel="0" collapsed="false">
      <c r="A21" s="8" t="s">
        <v>459</v>
      </c>
      <c r="B21" s="8" t="n">
        <f aca="false">SUM(B2:B20)</f>
        <v>225</v>
      </c>
      <c r="C21" s="9" t="n">
        <f aca="false">B21/B21</f>
        <v>1</v>
      </c>
      <c r="D2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10" t="s">
        <v>460</v>
      </c>
    </row>
    <row r="2" customFormat="false" ht="15" hidden="false" customHeight="false" outlineLevel="0" collapsed="false">
      <c r="A2" s="11" t="s">
        <v>461</v>
      </c>
    </row>
    <row r="3" customFormat="false" ht="15" hidden="false" customHeight="false" outlineLevel="0" collapsed="false">
      <c r="A3" s="11" t="s">
        <v>462</v>
      </c>
    </row>
    <row r="5" customFormat="false" ht="15" hidden="false" customHeight="false" outlineLevel="0" collapsed="false">
      <c r="A5" s="12" t="s">
        <v>463</v>
      </c>
      <c r="B5" s="12" t="s">
        <v>464</v>
      </c>
      <c r="C5" s="12" t="s">
        <v>465</v>
      </c>
      <c r="D5" s="12" t="s">
        <v>466</v>
      </c>
      <c r="E5" s="12" t="s">
        <v>467</v>
      </c>
      <c r="F5" s="12" t="s">
        <v>468</v>
      </c>
    </row>
    <row r="6" customFormat="false" ht="63.75" hidden="false" customHeight="true" outlineLevel="0" collapsed="false">
      <c r="A6" s="13" t="s">
        <v>469</v>
      </c>
      <c r="B6" s="13" t="s">
        <v>470</v>
      </c>
      <c r="C6" s="13" t="s">
        <v>471</v>
      </c>
      <c r="D6" s="13" t="s">
        <v>472</v>
      </c>
      <c r="E6" s="14" t="s">
        <v>473</v>
      </c>
      <c r="F6" s="13" t="s">
        <v>474</v>
      </c>
    </row>
    <row r="7" customFormat="false" ht="63.75" hidden="false" customHeight="true" outlineLevel="0" collapsed="false">
      <c r="A7" s="13" t="s">
        <v>475</v>
      </c>
      <c r="B7" s="13" t="s">
        <v>476</v>
      </c>
      <c r="C7" s="13" t="s">
        <v>477</v>
      </c>
      <c r="D7" s="13" t="s">
        <v>478</v>
      </c>
      <c r="E7" s="14" t="s">
        <v>473</v>
      </c>
      <c r="F7" s="13" t="s">
        <v>479</v>
      </c>
    </row>
    <row r="8" customFormat="false" ht="63.75" hidden="false" customHeight="true" outlineLevel="0" collapsed="false">
      <c r="A8" s="13" t="s">
        <v>480</v>
      </c>
      <c r="B8" s="13" t="s">
        <v>481</v>
      </c>
      <c r="C8" s="13" t="s">
        <v>482</v>
      </c>
      <c r="D8" s="13" t="s">
        <v>483</v>
      </c>
      <c r="E8" s="14" t="s">
        <v>473</v>
      </c>
      <c r="F8" s="13" t="s">
        <v>484</v>
      </c>
    </row>
    <row r="9" customFormat="false" ht="63.75" hidden="false" customHeight="true" outlineLevel="0" collapsed="false">
      <c r="A9" s="13" t="s">
        <v>485</v>
      </c>
      <c r="B9" s="13" t="s">
        <v>486</v>
      </c>
      <c r="C9" s="13" t="s">
        <v>487</v>
      </c>
      <c r="D9" s="13" t="s">
        <v>488</v>
      </c>
      <c r="E9" s="14" t="s">
        <v>473</v>
      </c>
      <c r="F9" s="13" t="s">
        <v>489</v>
      </c>
    </row>
    <row r="10" customFormat="false" ht="63.75" hidden="false" customHeight="true" outlineLevel="0" collapsed="false">
      <c r="A10" s="13" t="s">
        <v>490</v>
      </c>
      <c r="B10" s="13" t="s">
        <v>163</v>
      </c>
      <c r="C10" s="13" t="s">
        <v>491</v>
      </c>
      <c r="D10" s="13" t="s">
        <v>492</v>
      </c>
      <c r="E10" s="14" t="s">
        <v>473</v>
      </c>
      <c r="F10" s="13" t="s">
        <v>493</v>
      </c>
    </row>
    <row r="11" customFormat="false" ht="63.75" hidden="false" customHeight="true" outlineLevel="0" collapsed="false">
      <c r="A11" s="13" t="s">
        <v>494</v>
      </c>
      <c r="B11" s="13" t="s">
        <v>94</v>
      </c>
      <c r="C11" s="13" t="s">
        <v>495</v>
      </c>
      <c r="D11" s="13" t="s">
        <v>496</v>
      </c>
      <c r="E11" s="15" t="s">
        <v>497</v>
      </c>
      <c r="F11" s="13" t="s">
        <v>498</v>
      </c>
    </row>
    <row r="12" customFormat="false" ht="63.75" hidden="false" customHeight="true" outlineLevel="0" collapsed="false">
      <c r="A12" s="13" t="s">
        <v>499</v>
      </c>
      <c r="B12" s="13" t="s">
        <v>500</v>
      </c>
      <c r="C12" s="13" t="s">
        <v>501</v>
      </c>
      <c r="D12" s="13" t="s">
        <v>502</v>
      </c>
      <c r="E12" s="15" t="s">
        <v>497</v>
      </c>
      <c r="F12" s="13" t="s">
        <v>503</v>
      </c>
    </row>
    <row r="13" customFormat="false" ht="63.75" hidden="false" customHeight="true" outlineLevel="0" collapsed="false">
      <c r="A13" s="13" t="s">
        <v>504</v>
      </c>
      <c r="B13" s="13" t="s">
        <v>505</v>
      </c>
      <c r="C13" s="13" t="s">
        <v>506</v>
      </c>
      <c r="D13" s="13" t="s">
        <v>507</v>
      </c>
      <c r="E13" s="16" t="s">
        <v>508</v>
      </c>
      <c r="F13" s="13" t="s">
        <v>509</v>
      </c>
    </row>
    <row r="14" customFormat="false" ht="63.75" hidden="false" customHeight="true" outlineLevel="0" collapsed="false">
      <c r="A14" s="13" t="s">
        <v>510</v>
      </c>
      <c r="B14" s="13" t="s">
        <v>511</v>
      </c>
      <c r="C14" s="13" t="s">
        <v>512</v>
      </c>
      <c r="D14" s="13" t="s">
        <v>513</v>
      </c>
      <c r="E14" s="17" t="s">
        <v>514</v>
      </c>
      <c r="F14" s="13" t="s">
        <v>515</v>
      </c>
    </row>
    <row r="15" customFormat="false" ht="63.75" hidden="false" customHeight="true" outlineLevel="0" collapsed="false">
      <c r="A15" s="13" t="s">
        <v>516</v>
      </c>
      <c r="B15" s="13" t="s">
        <v>517</v>
      </c>
      <c r="C15" s="13" t="s">
        <v>518</v>
      </c>
      <c r="D15" s="13" t="s">
        <v>519</v>
      </c>
      <c r="E15" s="14" t="s">
        <v>473</v>
      </c>
      <c r="F15" s="13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2026-07-05T18:20:15Z</dcterms:created>
  <dc:creator>openpyxl</dc:creator>
  <dc:description/>
  <dc:language>en-US</dc:language>
  <cp:lastModifiedBy/>
  <dcterms:modified xsi:type="dcterms:W3CDTF">2026-07-05T18:20:15Z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